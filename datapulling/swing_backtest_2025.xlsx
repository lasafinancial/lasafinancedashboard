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8-JAN-2026" sheetId="3" r:id="rId7"/>
    <sheet state="visible" name="7-JAN-2026" sheetId="4" r:id="rId8"/>
    <sheet state="visible" name="6-JAN-2026" sheetId="5" r:id="rId9"/>
    <sheet state="visible" name="5-JAN-2026" sheetId="6" r:id="rId10"/>
    <sheet state="visible" name="2-JAN-2025" sheetId="7" r:id="rId11"/>
    <sheet state="visible" name="1-JAN-2026" sheetId="8" r:id="rId12"/>
    <sheet state="visible" name="31-DEC-2025" sheetId="9" r:id="rId13"/>
    <sheet state="visible" name="30-DEC-2025" sheetId="10" r:id="rId14"/>
    <sheet state="visible" name="29-DEC-2025" sheetId="11" r:id="rId15"/>
    <sheet state="visible" name="26-DEC-2025" sheetId="12" r:id="rId16"/>
    <sheet state="visible" name="24-DEC-2025" sheetId="13" r:id="rId17"/>
    <sheet state="visible" name="23-DEC-2025" sheetId="14" r:id="rId18"/>
    <sheet state="visible" name="22-DEC-2025" sheetId="15" r:id="rId19"/>
    <sheet state="visible" name="19-DEC-2025" sheetId="16" r:id="rId20"/>
    <sheet state="visible" name="18-DEC-2025" sheetId="17" r:id="rId21"/>
    <sheet state="visible" name="17-DEC-2025" sheetId="18" r:id="rId22"/>
    <sheet state="visible" name="16-DEC-2025" sheetId="19" r:id="rId23"/>
    <sheet state="visible" name="15-DEC-2025" sheetId="20" r:id="rId24"/>
    <sheet state="visible" name="12-DEC-2025" sheetId="21" r:id="rId25"/>
    <sheet state="visible" name="11-DEC-2025" sheetId="22" r:id="rId26"/>
    <sheet state="visible" name="10-DEC-2025" sheetId="23" r:id="rId27"/>
    <sheet state="visible" name="9-DEC-2025" sheetId="24" r:id="rId28"/>
    <sheet state="visible" name="8-DEC-2025" sheetId="25" r:id="rId29"/>
    <sheet state="visible" name="5-DEC-2025" sheetId="26" r:id="rId30"/>
    <sheet state="visible" name="4-DEC-2025" sheetId="27" r:id="rId31"/>
    <sheet state="visible" name="3-DEC-2025" sheetId="28" r:id="rId32"/>
    <sheet state="visible" name="2-DEC-2025" sheetId="29" r:id="rId33"/>
    <sheet state="visible" name="1-DEC-2025" sheetId="30" r:id="rId34"/>
    <sheet state="visible" name="28-NOV-2025" sheetId="31" r:id="rId35"/>
    <sheet state="visible" name="27-NOV-2025" sheetId="32" r:id="rId36"/>
    <sheet state="visible" name="26-NOV-2025" sheetId="33" r:id="rId37"/>
    <sheet state="visible" name="25-NOV-2025" sheetId="34" r:id="rId38"/>
    <sheet state="visible" name="24-NOV-2025" sheetId="35" r:id="rId39"/>
    <sheet state="visible" name="21-NOV-2025" sheetId="36" r:id="rId40"/>
    <sheet state="visible" name="20-NOV-2025" sheetId="37" r:id="rId41"/>
    <sheet state="visible" name="19-NOV-2025" sheetId="38" r:id="rId42"/>
    <sheet state="visible" name="18-NOV-2025" sheetId="39" r:id="rId43"/>
    <sheet state="visible" name="17-NOV-2025" sheetId="40" r:id="rId44"/>
    <sheet state="visible" name="14-NOV-2025" sheetId="41" r:id="rId45"/>
    <sheet state="visible" name="13-NOV-2025" sheetId="42" r:id="rId46"/>
    <sheet state="visible" name="12-NOV-2025" sheetId="43" r:id="rId47"/>
    <sheet state="visible" name="11-NOV-2025" sheetId="44" r:id="rId48"/>
    <sheet state="visible" name="10-NOV-2025" sheetId="45" r:id="rId49"/>
    <sheet state="visible" name="7-NOV-2025" sheetId="46" r:id="rId50"/>
    <sheet state="visible" name="6-NOV-2025" sheetId="47" r:id="rId51"/>
    <sheet state="visible" name="4-NOV-2025" sheetId="48" r:id="rId52"/>
    <sheet state="visible" name="3- NOV -2025" sheetId="49" r:id="rId53"/>
    <sheet state="visible" name="Oct-31-2025" sheetId="50" r:id="rId54"/>
    <sheet state="visible" name="oct -30-2025" sheetId="51" r:id="rId55"/>
    <sheet state="visible" name="oct-29-2025" sheetId="52" r:id="rId56"/>
    <sheet state="visible" name="OCT- 28-2025" sheetId="53" r:id="rId57"/>
    <sheet state="visible" name="OCT-27-2025" sheetId="54" r:id="rId58"/>
    <sheet state="visible" name="OCT-24-2025" sheetId="55" r:id="rId59"/>
    <sheet state="visible" name="OCT-22-2025" sheetId="56" r:id="rId60"/>
    <sheet state="visible" name="OCT- 16-2025" sheetId="57" r:id="rId61"/>
    <sheet state="visible" name="OCT-15-2025" sheetId="58" r:id="rId62"/>
    <sheet state="visible" name="OCT-14-2025" sheetId="59" r:id="rId63"/>
    <sheet state="visible" name="OCT-13-2025" sheetId="60" r:id="rId64"/>
    <sheet state="visible" name="OCT1-10-2025" sheetId="61" r:id="rId65"/>
    <sheet state="visible" name="OCT-9-2025" sheetId="62" r:id="rId66"/>
    <sheet state="visible" name="OCT-8-2025" sheetId="63" r:id="rId67"/>
    <sheet state="visible" name="OCT-7-2025" sheetId="64" r:id="rId68"/>
    <sheet state="visible" name="OCT-6-2025" sheetId="65" r:id="rId69"/>
    <sheet state="visible" name="Sheet30" sheetId="66" r:id="rId70"/>
    <sheet state="visible" name="OCT-3-2025" sheetId="67" r:id="rId71"/>
    <sheet state="visible" name="OCT-1-2025" sheetId="68" r:id="rId72"/>
    <sheet state="visible" name="SEP-30-2025" sheetId="69" r:id="rId73"/>
    <sheet state="visible" name="SEP-29-2025" sheetId="70" r:id="rId74"/>
    <sheet state="visible" name="SEP-26-2025" sheetId="71" r:id="rId75"/>
    <sheet state="visible" name="SEP-25-2025" sheetId="72" r:id="rId76"/>
    <sheet state="visible" name="SEP-24-2025" sheetId="73" r:id="rId77"/>
    <sheet state="visible" name="SEP-23-2025" sheetId="74" r:id="rId78"/>
    <sheet state="visible" name="SEp-22-2025" sheetId="75" r:id="rId79"/>
    <sheet state="visible" name="SEP-19-2025" sheetId="76" r:id="rId80"/>
    <sheet state="visible" name="SEP-18-2025" sheetId="77" r:id="rId81"/>
    <sheet state="visible" name="SEP-17-2025" sheetId="78" r:id="rId82"/>
    <sheet state="visible" name="SEP-16-2025" sheetId="79" r:id="rId83"/>
    <sheet state="visible" name="SEP-15-2025" sheetId="80" r:id="rId84"/>
  </sheets>
  <definedNames/>
  <calcPr/>
</workbook>
</file>

<file path=xl/sharedStrings.xml><?xml version="1.0" encoding="utf-8"?>
<sst xmlns="http://schemas.openxmlformats.org/spreadsheetml/2006/main" count="8982" uniqueCount="91">
  <si>
    <t>DATE</t>
  </si>
  <si>
    <t>REVERSAL_UP</t>
  </si>
  <si>
    <t>REVERSAL_DOWN</t>
  </si>
  <si>
    <t>TOTAL_SUPPORT</t>
  </si>
  <si>
    <t>TOTAL_RESITANCE</t>
  </si>
  <si>
    <t>FG_ABOVE</t>
  </si>
  <si>
    <t>FG_BELOW</t>
  </si>
  <si>
    <t>FG_NET</t>
  </si>
  <si>
    <t>ML_ABOVE</t>
  </si>
  <si>
    <t>ML_BELOW</t>
  </si>
  <si>
    <t>FIVESTAR_BUY_TRADE</t>
  </si>
  <si>
    <t>FIVESTAR_SELL_TRADE</t>
  </si>
  <si>
    <t>W_ABOVE</t>
  </si>
  <si>
    <t>W_BELOW</t>
  </si>
  <si>
    <t>ML_THRESHOLD</t>
  </si>
  <si>
    <t>FIVESTAR_THRESOLD</t>
  </si>
  <si>
    <t>W_THRESHOLD</t>
  </si>
  <si>
    <t>FG_THRESHOLD</t>
  </si>
  <si>
    <t>NIFTY100_DAILY_RSI_ABOVE50</t>
  </si>
  <si>
    <t>RSI_THRESOLD_SELL</t>
  </si>
  <si>
    <t>RSI_THRESOLD_BUY</t>
  </si>
  <si>
    <t>TOTAL_SCORE</t>
  </si>
  <si>
    <t>TOTAL_SCORE_THRESHOLD</t>
  </si>
  <si>
    <t>EXIT_SCORE</t>
  </si>
  <si>
    <t>ENTRY_SCORE</t>
  </si>
  <si>
    <t>BOTTOM</t>
  </si>
  <si>
    <t>Y</t>
  </si>
  <si>
    <t>3..28</t>
  </si>
  <si>
    <t>COUNT ALL</t>
  </si>
  <si>
    <t>PERCENT ALL</t>
  </si>
  <si>
    <t>COUNT500</t>
  </si>
  <si>
    <t>PERCENT500</t>
  </si>
  <si>
    <t>COUNT100</t>
  </si>
  <si>
    <t>PERCENT100</t>
  </si>
  <si>
    <t>COUNTINDEX</t>
  </si>
  <si>
    <t>PERCENTINDEX</t>
  </si>
  <si>
    <t>HIDE</t>
  </si>
  <si>
    <t>STATUS</t>
  </si>
  <si>
    <t>TOTAL</t>
  </si>
  <si>
    <t>TOTAL STOCKS</t>
  </si>
  <si>
    <t>N</t>
  </si>
  <si>
    <t>EXIT</t>
  </si>
  <si>
    <t>WEEKLY UPTREND COUNT</t>
  </si>
  <si>
    <t>Bearish</t>
  </si>
  <si>
    <t>WEEKLY DOWNTREND COUNT</t>
  </si>
  <si>
    <t>DAILY UPTREND COUNT</t>
  </si>
  <si>
    <t>DAILY DOWNTREND COUNT</t>
  </si>
  <si>
    <t>STOCKS REVERSAL UP</t>
  </si>
  <si>
    <t>STOCKS REVERSAL DOWN</t>
  </si>
  <si>
    <t>TREND CHANGE COUNT</t>
  </si>
  <si>
    <t>EXTENSION 10 PERCENT</t>
  </si>
  <si>
    <t>LSMA PULLBACK</t>
  </si>
  <si>
    <t>DAILY RSI ABOVE 50</t>
  </si>
  <si>
    <t>Strong Bullish</t>
  </si>
  <si>
    <t>DAILY BULLISH RSI DIVERGENCE</t>
  </si>
  <si>
    <t>DAILY BEARISH RSI DIVERGENCE</t>
  </si>
  <si>
    <t>WEEKLY RSI ABOVE 50</t>
  </si>
  <si>
    <t>WEEKLY BULLISH RSI DIVERGENCE</t>
  </si>
  <si>
    <t>WEEKLY BEARISH RSI DIVERGENCE</t>
  </si>
  <si>
    <t>TODAY STOCKS ABOVE 2 %</t>
  </si>
  <si>
    <t>TODAY STOCKS BELOW 2%</t>
  </si>
  <si>
    <t>TODAY STOCKS ABOVE 4 %</t>
  </si>
  <si>
    <t>TODAY STOCKS BELOW 4%</t>
  </si>
  <si>
    <t>SCORE BUY</t>
  </si>
  <si>
    <t>SCORE SELL</t>
  </si>
  <si>
    <t>TOTAL SUPPORT</t>
  </si>
  <si>
    <t>Mild Bearish</t>
  </si>
  <si>
    <t>TOTAL RESISTANCE</t>
  </si>
  <si>
    <t>VOL_BUY_PATTERN</t>
  </si>
  <si>
    <t>VOL_SELL_PATTERN</t>
  </si>
  <si>
    <t>DAILY WOLFEBULL10PERCENT</t>
  </si>
  <si>
    <t>DAILY WOLFEBEAR10PERCENT</t>
  </si>
  <si>
    <t>WEEKLY WOLFEBULL10PERCENT</t>
  </si>
  <si>
    <t>WEEKLY WOLFEBEAR10PERCENT</t>
  </si>
  <si>
    <t>DAILY W5WOLFEBULL</t>
  </si>
  <si>
    <t>DAILY W5WOLFEBEAR</t>
  </si>
  <si>
    <t>WEEKLY W5WOLFEBULL</t>
  </si>
  <si>
    <t>WEEKLY W5WOLFEBEAR</t>
  </si>
  <si>
    <t>WB_ABOVE</t>
  </si>
  <si>
    <t>Bullish</t>
  </si>
  <si>
    <t>WB_BELOW</t>
  </si>
  <si>
    <t>Strongly Bearish</t>
  </si>
  <si>
    <t>Strongly Bullish</t>
  </si>
  <si>
    <t>ML_AVG_TARGET_PERCENT</t>
  </si>
  <si>
    <t>DAILY_BUY_BREAKOUT</t>
  </si>
  <si>
    <t>DAILY_SELL_BREAKDOWN</t>
  </si>
  <si>
    <t>CONFIDENCE_SCORE_ENTRY</t>
  </si>
  <si>
    <t>CONFIDENCE_SCORE_EXIT</t>
  </si>
  <si>
    <t>BUY</t>
  </si>
  <si>
    <t>Sideways</t>
  </si>
  <si>
    <t>Strong Bearish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</si>
</sst>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mmmm d"/>
    <numFmt numFmtId="166" formatCode="mmmm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3" fontId="1" numFmtId="10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4" fontId="1" numFmtId="165" xfId="0" applyAlignment="1" applyFill="1" applyFont="1" applyNumberForma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horizontal="right" readingOrder="0"/>
    </xf>
    <xf borderId="0" fillId="4" fontId="4" numFmtId="0" xfId="0" applyAlignment="1" applyFont="1">
      <alignment horizontal="right" vertical="bottom"/>
    </xf>
    <xf borderId="0" fillId="4" fontId="4" numFmtId="0" xfId="0" applyAlignment="1" applyFont="1">
      <alignment horizontal="right" readingOrder="0" vertical="bottom"/>
    </xf>
    <xf borderId="0" fillId="4" fontId="2" numFmtId="0" xfId="0" applyAlignment="1" applyFont="1">
      <alignment readingOrder="0"/>
    </xf>
    <xf borderId="0" fillId="5" fontId="1" numFmtId="165" xfId="0" applyAlignment="1" applyFill="1" applyFont="1" applyNumberFormat="1">
      <alignment horizontal="center"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horizontal="right" readingOrder="0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right" readingOrder="0" vertical="bottom"/>
    </xf>
    <xf borderId="0" fillId="5" fontId="2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2" fontId="2" numFmtId="0" xfId="0" applyFont="1"/>
    <xf borderId="0" fillId="0" fontId="1" numFmtId="166" xfId="0" applyAlignment="1" applyFont="1" applyNumberFormat="1">
      <alignment horizontal="center" readingOrder="0"/>
    </xf>
    <xf borderId="0" fillId="6" fontId="1" numFmtId="0" xfId="0" applyAlignment="1" applyFill="1" applyFont="1">
      <alignment readingOrder="0"/>
    </xf>
    <xf borderId="0" fillId="3" fontId="1" numFmtId="10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DATA!$B$2:$B$200</c:f>
              <c:numCache/>
            </c:numRef>
          </c:val>
          <c:smooth val="0"/>
        </c:ser>
        <c:ser>
          <c:idx val="1"/>
          <c:order val="1"/>
          <c:tx>
            <c:strRef>
              <c:f>DATA!$C$1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DATA!$C$2:$C$200</c:f>
              <c:numCache/>
            </c:numRef>
          </c:val>
          <c:smooth val="0"/>
        </c:ser>
        <c:axId val="2070455502"/>
        <c:axId val="1403857788"/>
      </c:lineChart>
      <c:catAx>
        <c:axId val="2070455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857788"/>
      </c:catAx>
      <c:valAx>
        <c:axId val="1403857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455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DATA!$D$2:$D$200</c:f>
              <c:numCache/>
            </c:numRef>
          </c:val>
          <c:smooth val="0"/>
        </c:ser>
        <c:ser>
          <c:idx val="1"/>
          <c:order val="1"/>
          <c:tx>
            <c:strRef>
              <c:f>DATA!$E$1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DATA!$E$2:$E$200</c:f>
              <c:numCache/>
            </c:numRef>
          </c:val>
          <c:smooth val="0"/>
        </c:ser>
        <c:axId val="979473914"/>
        <c:axId val="863564926"/>
      </c:lineChart>
      <c:catAx>
        <c:axId val="979473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564926"/>
      </c:catAx>
      <c:valAx>
        <c:axId val="863564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473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ML_ABOVE , ML_BELOW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DATA!$I$2:$I$200</c:f>
              <c:numCache/>
            </c:numRef>
          </c:val>
          <c:smooth val="0"/>
        </c:ser>
        <c:ser>
          <c:idx val="1"/>
          <c:order val="1"/>
          <c:tx>
            <c:strRef>
              <c:f>DATA!$J$1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DATA!$J$2:$J$200</c:f>
              <c:numCache/>
            </c:numRef>
          </c:val>
          <c:smooth val="0"/>
        </c:ser>
        <c:ser>
          <c:idx val="2"/>
          <c:order val="2"/>
          <c:tx>
            <c:strRef>
              <c:f>DATA!$O$1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DATA!$O$2:$O$200</c:f>
              <c:numCache/>
            </c:numRef>
          </c:val>
          <c:smooth val="0"/>
        </c:ser>
        <c:axId val="1040224160"/>
        <c:axId val="1872691810"/>
      </c:lineChart>
      <c:catAx>
        <c:axId val="104022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691810"/>
      </c:catAx>
      <c:valAx>
        <c:axId val="1872691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224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DATA!$K$2:$K$200</c:f>
              <c:numCache/>
            </c:numRef>
          </c:val>
          <c:smooth val="0"/>
        </c:ser>
        <c:ser>
          <c:idx val="1"/>
          <c:order val="1"/>
          <c:tx>
            <c:strRef>
              <c:f>DATA!$L$1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DATA!$L$2:$L$200</c:f>
              <c:numCache/>
            </c:numRef>
          </c:val>
          <c:smooth val="0"/>
        </c:ser>
        <c:ser>
          <c:idx val="2"/>
          <c:order val="2"/>
          <c:tx>
            <c:strRef>
              <c:f>DATA!$P$1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DATA!$P$2:$P$200</c:f>
              <c:numCache/>
            </c:numRef>
          </c:val>
          <c:smooth val="0"/>
        </c:ser>
        <c:axId val="1221072016"/>
        <c:axId val="590579139"/>
      </c:lineChart>
      <c:catAx>
        <c:axId val="122107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579139"/>
      </c:catAx>
      <c:valAx>
        <c:axId val="590579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072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DATA!$M$2:$M$200</c:f>
              <c:numCache/>
            </c:numRef>
          </c:val>
          <c:smooth val="0"/>
        </c:ser>
        <c:ser>
          <c:idx val="1"/>
          <c:order val="1"/>
          <c:tx>
            <c:strRef>
              <c:f>DATA!$N$1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DATA!$N$2:$N$200</c:f>
              <c:numCache/>
            </c:numRef>
          </c:val>
          <c:smooth val="0"/>
        </c:ser>
        <c:ser>
          <c:idx val="2"/>
          <c:order val="2"/>
          <c:tx>
            <c:strRef>
              <c:f>DATA!$Q$1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DATA!$Q$2:$Q$200</c:f>
              <c:numCache/>
            </c:numRef>
          </c:val>
          <c:smooth val="0"/>
        </c:ser>
        <c:axId val="1987836271"/>
        <c:axId val="1478307582"/>
      </c:lineChart>
      <c:catAx>
        <c:axId val="198783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307582"/>
      </c:catAx>
      <c:valAx>
        <c:axId val="1478307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836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DATA!$F$2:$F$200</c:f>
              <c:numCache/>
            </c:numRef>
          </c:val>
          <c:smooth val="0"/>
        </c:ser>
        <c:ser>
          <c:idx val="1"/>
          <c:order val="1"/>
          <c:tx>
            <c:strRef>
              <c:f>DATA!$G$1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DATA!$G$2:$G$200</c:f>
              <c:numCache/>
            </c:numRef>
          </c:val>
          <c:smooth val="0"/>
        </c:ser>
        <c:ser>
          <c:idx val="2"/>
          <c:order val="2"/>
          <c:tx>
            <c:strRef>
              <c:f>DATA!$R$1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DATA!$R$2:$R$200</c:f>
              <c:numCache/>
            </c:numRef>
          </c:val>
          <c:smooth val="0"/>
        </c:ser>
        <c:axId val="1757719774"/>
        <c:axId val="890612942"/>
      </c:lineChart>
      <c:catAx>
        <c:axId val="1757719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612942"/>
      </c:catAx>
      <c:valAx>
        <c:axId val="890612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719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RSI ALGORITHM</a:t>
            </a:r>
          </a:p>
        </c:rich>
      </c:tx>
      <c:layout>
        <c:manualLayout>
          <c:xMode val="edge"/>
          <c:yMode val="edge"/>
          <c:x val="0.030607082630691403"/>
          <c:y val="0.047245179063360884"/>
        </c:manualLayout>
      </c:layout>
      <c:overlay val="0"/>
    </c:title>
    <c:plotArea>
      <c:layout/>
      <c:lineChart>
        <c:ser>
          <c:idx val="0"/>
          <c:order val="0"/>
          <c:tx>
            <c:strRef>
              <c:f>DATA!$S$1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DATA!$S$2:$S$200</c:f>
              <c:numCache/>
            </c:numRef>
          </c:val>
          <c:smooth val="0"/>
        </c:ser>
        <c:ser>
          <c:idx val="1"/>
          <c:order val="1"/>
          <c:tx>
            <c:strRef>
              <c:f>DATA!$T$1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DATA!$T$2:$T$200</c:f>
              <c:numCache/>
            </c:numRef>
          </c:val>
          <c:smooth val="0"/>
        </c:ser>
        <c:ser>
          <c:idx val="2"/>
          <c:order val="2"/>
          <c:tx>
            <c:strRef>
              <c:f>DATA!$U$1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DATA!$U$2:$U$200</c:f>
              <c:numCache/>
            </c:numRef>
          </c:val>
          <c:smooth val="0"/>
        </c:ser>
        <c:axId val="772698285"/>
        <c:axId val="411624603"/>
      </c:lineChart>
      <c:catAx>
        <c:axId val="772698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624603"/>
      </c:catAx>
      <c:valAx>
        <c:axId val="411624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698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SCORE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DATA!$A$2:$A$200</c:f>
            </c:strRef>
          </c:cat>
          <c:val>
            <c:numRef>
              <c:f>DATA!$V$2:$V$200</c:f>
              <c:numCache/>
            </c:numRef>
          </c:val>
          <c:smooth val="0"/>
        </c:ser>
        <c:ser>
          <c:idx val="1"/>
          <c:order val="1"/>
          <c:tx>
            <c:v>BUY ABOVE THIS LINE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Pt>
            <c:idx val="39"/>
            <c:marker>
              <c:symbol val="none"/>
            </c:marker>
          </c:dPt>
          <c:cat>
            <c:strRef>
              <c:f>DATA!$A$2:$A$200</c:f>
            </c:strRef>
          </c:cat>
          <c:val>
            <c:numRef>
              <c:f>DATA!$W$2:$W$200</c:f>
              <c:numCache/>
            </c:numRef>
          </c:val>
          <c:smooth val="0"/>
        </c:ser>
        <c:axId val="1726142745"/>
        <c:axId val="1179533026"/>
      </c:lineChart>
      <c:catAx>
        <c:axId val="1726142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533026"/>
      </c:catAx>
      <c:valAx>
        <c:axId val="11795330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142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85725</xdr:rowOff>
    </xdr:from>
    <xdr:ext cx="5457825" cy="338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</xdr:colOff>
      <xdr:row>0</xdr:row>
      <xdr:rowOff>0</xdr:rowOff>
    </xdr:from>
    <xdr:ext cx="5553075" cy="3457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18</xdr:row>
      <xdr:rowOff>0</xdr:rowOff>
    </xdr:from>
    <xdr:ext cx="5648325" cy="3457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266700</xdr:colOff>
      <xdr:row>18</xdr:row>
      <xdr:rowOff>104775</xdr:rowOff>
    </xdr:from>
    <xdr:ext cx="5648325" cy="3695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361950</xdr:colOff>
      <xdr:row>18</xdr:row>
      <xdr:rowOff>104775</xdr:rowOff>
    </xdr:from>
    <xdr:ext cx="5457825" cy="3381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57150</xdr:colOff>
      <xdr:row>0</xdr:row>
      <xdr:rowOff>0</xdr:rowOff>
    </xdr:from>
    <xdr:ext cx="5553075" cy="3457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190500</xdr:rowOff>
    </xdr:from>
    <xdr:ext cx="5648325" cy="3457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9525</xdr:colOff>
      <xdr:row>38</xdr:row>
      <xdr:rowOff>152400</xdr:rowOff>
    </xdr:from>
    <xdr:ext cx="5648325" cy="3457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</row>
    <row r="3">
      <c r="A3" s="1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19" max="19" width="16.7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7" t="s">
        <v>21</v>
      </c>
      <c r="W1" s="4" t="s">
        <v>22</v>
      </c>
      <c r="X1" s="8" t="s">
        <v>23</v>
      </c>
      <c r="Y1" s="8" t="s">
        <v>24</v>
      </c>
      <c r="Z1" s="8" t="s">
        <v>25</v>
      </c>
    </row>
    <row r="2">
      <c r="A2" s="9">
        <v>45660.0</v>
      </c>
      <c r="B2" s="10">
        <v>71.0</v>
      </c>
      <c r="C2" s="10">
        <v>30.0</v>
      </c>
      <c r="D2" s="10">
        <v>9.0</v>
      </c>
      <c r="E2" s="10">
        <v>9.0</v>
      </c>
      <c r="F2" s="10">
        <v>11.0</v>
      </c>
      <c r="G2" s="10">
        <v>23.0</v>
      </c>
      <c r="H2" s="11">
        <f t="shared" ref="H2:H50" si="1">F2-G2</f>
        <v>-12</v>
      </c>
      <c r="I2" s="10">
        <v>83.0</v>
      </c>
      <c r="J2" s="10">
        <v>17.0</v>
      </c>
      <c r="K2" s="10">
        <v>5.0</v>
      </c>
      <c r="L2" s="12">
        <v>3.0</v>
      </c>
      <c r="M2" s="10">
        <v>36.0</v>
      </c>
      <c r="N2" s="10">
        <v>13.0</v>
      </c>
      <c r="O2" s="13">
        <v>90.0</v>
      </c>
      <c r="P2" s="14">
        <v>5.0</v>
      </c>
      <c r="Q2" s="14">
        <v>40.0</v>
      </c>
      <c r="R2" s="14">
        <v>20.0</v>
      </c>
      <c r="T2" s="10">
        <v>60.0</v>
      </c>
      <c r="U2" s="10">
        <v>40.0</v>
      </c>
      <c r="V2" s="7">
        <v>3.0</v>
      </c>
      <c r="W2" s="10">
        <v>4.0</v>
      </c>
      <c r="X2" s="15">
        <f t="shared" ref="X2:X148" si="2">IF(S2&gt;70,0.4,0)
 + IF(G2&gt;15,0.2,0)
 + IF(J2&gt;I2,0.15,0)
 + IF(N2&gt;4,0.1,0)
 + IF(E2&gt;2*D2,0.15,0)
</f>
        <v>0.3</v>
      </c>
      <c r="Y2" s="15">
        <f t="shared" ref="Y2:Y138" si="3">IF(S2&lt;40,0.15,0) + IF(V2&gt;3,0.4,0) + IF(F2&gt;15,0.15,0) + IF(I2&gt;J2,0.15,0) + IF(D2&gt;2*E2,0.15,0)</f>
        <v>0.3</v>
      </c>
      <c r="Z2" s="15"/>
    </row>
    <row r="3">
      <c r="A3" s="9">
        <v>45684.0</v>
      </c>
      <c r="B3" s="10">
        <v>42.0</v>
      </c>
      <c r="C3" s="10">
        <v>59.0</v>
      </c>
      <c r="D3" s="10">
        <v>4.0</v>
      </c>
      <c r="E3" s="10">
        <v>6.0</v>
      </c>
      <c r="F3" s="10">
        <v>22.0</v>
      </c>
      <c r="G3" s="10">
        <v>5.0</v>
      </c>
      <c r="H3" s="11">
        <f t="shared" si="1"/>
        <v>17</v>
      </c>
      <c r="I3" s="10">
        <v>94.0</v>
      </c>
      <c r="J3" s="10">
        <v>7.0</v>
      </c>
      <c r="K3" s="10">
        <v>6.0</v>
      </c>
      <c r="L3" s="12">
        <v>0.0</v>
      </c>
      <c r="M3" s="10">
        <v>29.0</v>
      </c>
      <c r="N3" s="10">
        <v>7.0</v>
      </c>
      <c r="O3" s="13">
        <v>90.0</v>
      </c>
      <c r="P3" s="14">
        <v>5.0</v>
      </c>
      <c r="Q3" s="14">
        <v>40.0</v>
      </c>
      <c r="R3" s="14">
        <v>20.0</v>
      </c>
      <c r="S3" s="10">
        <v>8.0</v>
      </c>
      <c r="T3" s="10">
        <v>60.0</v>
      </c>
      <c r="U3" s="10">
        <v>40.0</v>
      </c>
      <c r="V3" s="7">
        <v>5.0</v>
      </c>
      <c r="W3" s="10">
        <v>4.0</v>
      </c>
      <c r="X3" s="15">
        <f t="shared" si="2"/>
        <v>0.1</v>
      </c>
      <c r="Y3" s="15">
        <f t="shared" si="3"/>
        <v>0.85</v>
      </c>
      <c r="Z3" s="16" t="s">
        <v>26</v>
      </c>
    </row>
    <row r="4">
      <c r="A4" s="9">
        <v>45686.0</v>
      </c>
      <c r="B4" s="10">
        <v>66.0</v>
      </c>
      <c r="C4" s="10">
        <v>35.0</v>
      </c>
      <c r="D4" s="10">
        <v>10.0</v>
      </c>
      <c r="E4" s="10">
        <v>11.0</v>
      </c>
      <c r="F4" s="10">
        <v>18.0</v>
      </c>
      <c r="G4" s="10">
        <v>7.0</v>
      </c>
      <c r="H4" s="11">
        <f t="shared" si="1"/>
        <v>11</v>
      </c>
      <c r="I4" s="10">
        <v>91.0</v>
      </c>
      <c r="J4" s="10">
        <v>10.0</v>
      </c>
      <c r="K4" s="10">
        <v>8.0</v>
      </c>
      <c r="L4" s="12">
        <v>0.0</v>
      </c>
      <c r="M4" s="10">
        <v>26.0</v>
      </c>
      <c r="N4" s="10">
        <v>1.0</v>
      </c>
      <c r="O4" s="13">
        <v>90.0</v>
      </c>
      <c r="P4" s="14">
        <v>5.0</v>
      </c>
      <c r="Q4" s="14">
        <v>40.0</v>
      </c>
      <c r="R4" s="14">
        <v>20.0</v>
      </c>
      <c r="S4" s="10">
        <v>12.0</v>
      </c>
      <c r="T4" s="10">
        <v>60.0</v>
      </c>
      <c r="U4" s="10">
        <v>40.0</v>
      </c>
      <c r="V4" s="7">
        <v>5.0</v>
      </c>
      <c r="W4" s="10">
        <v>4.0</v>
      </c>
      <c r="X4" s="15">
        <f t="shared" si="2"/>
        <v>0</v>
      </c>
      <c r="Y4" s="15">
        <f t="shared" si="3"/>
        <v>0.85</v>
      </c>
      <c r="Z4" s="16" t="s">
        <v>26</v>
      </c>
    </row>
    <row r="5">
      <c r="A5" s="17">
        <v>45720.0</v>
      </c>
      <c r="B5" s="18">
        <v>74.0</v>
      </c>
      <c r="C5" s="18">
        <v>27.0</v>
      </c>
      <c r="D5" s="18">
        <v>17.0</v>
      </c>
      <c r="E5" s="18">
        <v>4.0</v>
      </c>
      <c r="F5" s="18">
        <v>26.0</v>
      </c>
      <c r="G5" s="18">
        <v>1.0</v>
      </c>
      <c r="H5" s="19">
        <f t="shared" si="1"/>
        <v>25</v>
      </c>
      <c r="I5" s="18">
        <v>94.0</v>
      </c>
      <c r="J5" s="18">
        <v>7.0</v>
      </c>
      <c r="K5" s="18">
        <v>19.0</v>
      </c>
      <c r="L5" s="20">
        <v>0.0</v>
      </c>
      <c r="M5" s="18">
        <v>38.0</v>
      </c>
      <c r="N5" s="18">
        <v>11.0</v>
      </c>
      <c r="O5" s="21">
        <v>90.0</v>
      </c>
      <c r="P5" s="22">
        <v>5.0</v>
      </c>
      <c r="Q5" s="22">
        <v>40.0</v>
      </c>
      <c r="R5" s="22">
        <v>20.0</v>
      </c>
      <c r="S5" s="18">
        <v>13.5</v>
      </c>
      <c r="T5" s="18">
        <v>60.0</v>
      </c>
      <c r="U5" s="18">
        <v>40.0</v>
      </c>
      <c r="V5" s="23">
        <v>9.0</v>
      </c>
      <c r="W5" s="18">
        <v>4.0</v>
      </c>
      <c r="X5" s="15">
        <f t="shared" si="2"/>
        <v>0.1</v>
      </c>
      <c r="Y5" s="15">
        <f t="shared" si="3"/>
        <v>1</v>
      </c>
      <c r="Z5" s="16" t="s">
        <v>26</v>
      </c>
    </row>
    <row r="6">
      <c r="A6" s="24">
        <v>45742.0</v>
      </c>
      <c r="B6" s="25">
        <v>18.0</v>
      </c>
      <c r="C6" s="25">
        <v>83.0</v>
      </c>
      <c r="D6" s="25">
        <v>3.0</v>
      </c>
      <c r="E6" s="25">
        <v>44.0</v>
      </c>
      <c r="F6" s="25">
        <v>5.0</v>
      </c>
      <c r="G6" s="25">
        <v>29.0</v>
      </c>
      <c r="H6" s="26">
        <f t="shared" si="1"/>
        <v>-24</v>
      </c>
      <c r="I6" s="25">
        <v>85.0</v>
      </c>
      <c r="J6" s="25">
        <v>16.0</v>
      </c>
      <c r="K6" s="25">
        <v>0.0</v>
      </c>
      <c r="L6" s="27">
        <v>0.0</v>
      </c>
      <c r="M6" s="25">
        <v>20.0</v>
      </c>
      <c r="N6" s="25">
        <v>6.0</v>
      </c>
      <c r="O6" s="28">
        <v>90.0</v>
      </c>
      <c r="P6" s="29">
        <v>5.0</v>
      </c>
      <c r="Q6" s="29">
        <v>40.0</v>
      </c>
      <c r="R6" s="29">
        <v>20.0</v>
      </c>
      <c r="S6" s="25">
        <v>61.0</v>
      </c>
      <c r="T6" s="25">
        <v>60.0</v>
      </c>
      <c r="U6" s="25">
        <v>40.0</v>
      </c>
      <c r="V6" s="30">
        <v>0.0</v>
      </c>
      <c r="W6" s="25">
        <v>4.0</v>
      </c>
      <c r="X6" s="15">
        <f t="shared" si="2"/>
        <v>0.45</v>
      </c>
      <c r="Y6" s="15">
        <f t="shared" si="3"/>
        <v>0.15</v>
      </c>
      <c r="Z6" s="15"/>
    </row>
    <row r="7">
      <c r="A7" s="17">
        <v>45756.0</v>
      </c>
      <c r="B7" s="18">
        <v>57.0</v>
      </c>
      <c r="C7" s="18">
        <v>44.0</v>
      </c>
      <c r="D7" s="18">
        <v>2.0</v>
      </c>
      <c r="E7" s="18">
        <v>1.0</v>
      </c>
      <c r="F7" s="18">
        <v>23.0</v>
      </c>
      <c r="G7" s="18">
        <v>12.0</v>
      </c>
      <c r="H7" s="19">
        <f t="shared" si="1"/>
        <v>11</v>
      </c>
      <c r="I7" s="18">
        <v>91.0</v>
      </c>
      <c r="J7" s="18">
        <v>10.0</v>
      </c>
      <c r="K7" s="18">
        <v>6.0</v>
      </c>
      <c r="L7" s="20">
        <v>0.0</v>
      </c>
      <c r="M7" s="18">
        <v>28.0</v>
      </c>
      <c r="N7" s="18">
        <v>4.0</v>
      </c>
      <c r="O7" s="21">
        <v>90.0</v>
      </c>
      <c r="P7" s="22">
        <v>5.0</v>
      </c>
      <c r="Q7" s="22">
        <v>40.0</v>
      </c>
      <c r="R7" s="22">
        <v>20.0</v>
      </c>
      <c r="S7" s="18">
        <v>28.0</v>
      </c>
      <c r="T7" s="18">
        <v>60.0</v>
      </c>
      <c r="U7" s="18">
        <v>40.0</v>
      </c>
      <c r="V7" s="23">
        <v>3.0</v>
      </c>
      <c r="W7" s="18">
        <v>4.0</v>
      </c>
      <c r="X7" s="15">
        <f t="shared" si="2"/>
        <v>0</v>
      </c>
      <c r="Y7" s="15">
        <f t="shared" si="3"/>
        <v>0.45</v>
      </c>
      <c r="Z7" s="15"/>
    </row>
    <row r="8">
      <c r="A8" s="17">
        <v>45786.0</v>
      </c>
      <c r="B8" s="18">
        <v>49.0</v>
      </c>
      <c r="C8" s="18">
        <v>52.0</v>
      </c>
      <c r="D8" s="18">
        <v>3.0</v>
      </c>
      <c r="E8" s="18">
        <v>8.0</v>
      </c>
      <c r="F8" s="18">
        <v>15.0</v>
      </c>
      <c r="G8" s="18">
        <v>17.0</v>
      </c>
      <c r="H8" s="19">
        <f t="shared" si="1"/>
        <v>-2</v>
      </c>
      <c r="I8" s="18">
        <v>89.0</v>
      </c>
      <c r="J8" s="18">
        <v>12.0</v>
      </c>
      <c r="K8" s="18">
        <v>11.0</v>
      </c>
      <c r="L8" s="20">
        <v>0.0</v>
      </c>
      <c r="M8" s="18">
        <v>54.0</v>
      </c>
      <c r="N8" s="18">
        <v>3.0</v>
      </c>
      <c r="O8" s="21">
        <v>90.0</v>
      </c>
      <c r="P8" s="22">
        <v>5.0</v>
      </c>
      <c r="Q8" s="22">
        <v>40.0</v>
      </c>
      <c r="R8" s="22">
        <v>20.0</v>
      </c>
      <c r="S8" s="18">
        <v>34.0</v>
      </c>
      <c r="T8" s="18">
        <v>60.0</v>
      </c>
      <c r="U8" s="18">
        <v>40.0</v>
      </c>
      <c r="V8" s="23">
        <v>7.0</v>
      </c>
      <c r="W8" s="18">
        <v>4.0</v>
      </c>
      <c r="X8" s="15">
        <f t="shared" si="2"/>
        <v>0.35</v>
      </c>
      <c r="Y8" s="15">
        <f t="shared" si="3"/>
        <v>0.7</v>
      </c>
      <c r="Z8" s="16" t="s">
        <v>26</v>
      </c>
    </row>
    <row r="9">
      <c r="A9" s="31">
        <v>45804.0</v>
      </c>
      <c r="B9" s="10">
        <v>54.0</v>
      </c>
      <c r="C9" s="10">
        <v>47.0</v>
      </c>
      <c r="D9" s="10">
        <v>11.0</v>
      </c>
      <c r="E9" s="10">
        <v>45.0</v>
      </c>
      <c r="F9" s="10">
        <v>1.0</v>
      </c>
      <c r="G9" s="10">
        <v>37.0</v>
      </c>
      <c r="H9" s="11">
        <f t="shared" si="1"/>
        <v>-36</v>
      </c>
      <c r="I9" s="10">
        <v>72.0</v>
      </c>
      <c r="J9" s="10">
        <v>29.0</v>
      </c>
      <c r="K9" s="10">
        <v>3.0</v>
      </c>
      <c r="L9" s="12">
        <v>4.0</v>
      </c>
      <c r="M9" s="10">
        <v>29.0</v>
      </c>
      <c r="N9" s="10">
        <v>9.0</v>
      </c>
      <c r="O9" s="13">
        <v>90.0</v>
      </c>
      <c r="P9" s="14">
        <v>5.0</v>
      </c>
      <c r="Q9" s="14">
        <v>40.0</v>
      </c>
      <c r="R9" s="14">
        <v>20.0</v>
      </c>
      <c r="S9" s="10">
        <v>74.0</v>
      </c>
      <c r="T9" s="10">
        <v>60.0</v>
      </c>
      <c r="U9" s="10">
        <v>40.0</v>
      </c>
      <c r="V9" s="7">
        <v>2.0</v>
      </c>
      <c r="W9" s="10">
        <v>4.0</v>
      </c>
      <c r="X9" s="15">
        <f t="shared" si="2"/>
        <v>0.85</v>
      </c>
      <c r="Y9" s="15">
        <f t="shared" si="3"/>
        <v>0.15</v>
      </c>
      <c r="Z9" s="15"/>
    </row>
    <row r="10">
      <c r="A10" s="31">
        <v>45806.0</v>
      </c>
      <c r="B10" s="10">
        <v>46.0</v>
      </c>
      <c r="C10" s="10">
        <v>55.0</v>
      </c>
      <c r="D10" s="10">
        <v>16.0</v>
      </c>
      <c r="E10" s="10">
        <v>48.0</v>
      </c>
      <c r="F10" s="10">
        <v>1.0</v>
      </c>
      <c r="G10" s="10">
        <v>34.0</v>
      </c>
      <c r="H10" s="11">
        <f t="shared" si="1"/>
        <v>-33</v>
      </c>
      <c r="I10" s="10">
        <v>74.0</v>
      </c>
      <c r="J10" s="10">
        <v>27.0</v>
      </c>
      <c r="K10" s="10">
        <v>3.0</v>
      </c>
      <c r="L10" s="12">
        <v>4.0</v>
      </c>
      <c r="M10" s="10">
        <v>42.0</v>
      </c>
      <c r="N10" s="10">
        <v>11.0</v>
      </c>
      <c r="O10" s="13">
        <v>90.0</v>
      </c>
      <c r="P10" s="14">
        <v>5.0</v>
      </c>
      <c r="Q10" s="14">
        <v>40.0</v>
      </c>
      <c r="R10" s="14">
        <v>20.0</v>
      </c>
      <c r="S10" s="10">
        <v>71.0</v>
      </c>
      <c r="T10" s="10">
        <v>60.0</v>
      </c>
      <c r="U10" s="10">
        <v>40.0</v>
      </c>
      <c r="V10" s="32"/>
      <c r="W10" s="10">
        <v>4.0</v>
      </c>
      <c r="X10" s="15">
        <f t="shared" si="2"/>
        <v>0.85</v>
      </c>
      <c r="Y10" s="15">
        <f t="shared" si="3"/>
        <v>0.15</v>
      </c>
      <c r="Z10" s="15"/>
    </row>
    <row r="11">
      <c r="A11" s="31">
        <v>45807.0</v>
      </c>
      <c r="B11" s="10">
        <v>42.0</v>
      </c>
      <c r="C11" s="10">
        <v>59.0</v>
      </c>
      <c r="D11" s="10">
        <v>24.0</v>
      </c>
      <c r="E11" s="10">
        <v>30.0</v>
      </c>
      <c r="F11" s="10">
        <v>1.0</v>
      </c>
      <c r="G11" s="10">
        <v>33.0</v>
      </c>
      <c r="H11" s="11">
        <f t="shared" si="1"/>
        <v>-32</v>
      </c>
      <c r="I11" s="10">
        <v>75.0</v>
      </c>
      <c r="J11" s="10">
        <v>25.0</v>
      </c>
      <c r="K11" s="10">
        <v>3.0</v>
      </c>
      <c r="L11" s="12">
        <v>3.0</v>
      </c>
      <c r="M11" s="10">
        <v>43.0</v>
      </c>
      <c r="N11" s="10">
        <v>5.0</v>
      </c>
      <c r="O11" s="13">
        <v>90.0</v>
      </c>
      <c r="P11" s="14">
        <v>5.0</v>
      </c>
      <c r="Q11" s="14">
        <v>40.0</v>
      </c>
      <c r="R11" s="14">
        <v>20.0</v>
      </c>
      <c r="S11" s="10">
        <v>69.0</v>
      </c>
      <c r="T11" s="10">
        <v>60.0</v>
      </c>
      <c r="U11" s="10">
        <v>40.0</v>
      </c>
      <c r="V11" s="7">
        <v>2.0</v>
      </c>
      <c r="W11" s="10">
        <v>4.0</v>
      </c>
      <c r="X11" s="15">
        <f t="shared" si="2"/>
        <v>0.3</v>
      </c>
      <c r="Y11" s="15">
        <f t="shared" si="3"/>
        <v>0.15</v>
      </c>
      <c r="Z11" s="15"/>
    </row>
    <row r="12">
      <c r="A12" s="31">
        <v>45810.0</v>
      </c>
      <c r="B12" s="10">
        <v>37.0</v>
      </c>
      <c r="C12" s="10">
        <v>63.0</v>
      </c>
      <c r="D12" s="10">
        <v>10.0</v>
      </c>
      <c r="E12" s="10">
        <v>22.0</v>
      </c>
      <c r="F12" s="10">
        <v>7.0</v>
      </c>
      <c r="G12" s="10">
        <v>38.0</v>
      </c>
      <c r="H12" s="11">
        <f t="shared" si="1"/>
        <v>-31</v>
      </c>
      <c r="I12" s="10">
        <v>65.0</v>
      </c>
      <c r="J12" s="10">
        <v>45.0</v>
      </c>
      <c r="K12" s="10">
        <v>5.0</v>
      </c>
      <c r="L12" s="12">
        <v>2.5</v>
      </c>
      <c r="M12" s="10">
        <v>45.0</v>
      </c>
      <c r="N12" s="10">
        <v>5.0</v>
      </c>
      <c r="O12" s="10">
        <v>90.0</v>
      </c>
      <c r="P12" s="14">
        <v>5.0</v>
      </c>
      <c r="Q12" s="14">
        <v>40.0</v>
      </c>
      <c r="R12" s="14">
        <v>20.0</v>
      </c>
      <c r="S12" s="10">
        <v>71.0</v>
      </c>
      <c r="T12" s="10">
        <v>60.0</v>
      </c>
      <c r="U12" s="10">
        <v>40.0</v>
      </c>
      <c r="V12" s="7">
        <v>2.0</v>
      </c>
      <c r="W12" s="10">
        <v>4.0</v>
      </c>
      <c r="X12" s="15">
        <f t="shared" si="2"/>
        <v>0.85</v>
      </c>
      <c r="Y12" s="15">
        <f t="shared" si="3"/>
        <v>0.15</v>
      </c>
      <c r="Z12" s="15"/>
    </row>
    <row r="13">
      <c r="A13" s="31">
        <v>45812.0</v>
      </c>
      <c r="B13" s="10">
        <v>44.0</v>
      </c>
      <c r="C13" s="10">
        <v>55.0</v>
      </c>
      <c r="D13" s="10">
        <v>18.0</v>
      </c>
      <c r="E13" s="10">
        <v>22.0</v>
      </c>
      <c r="F13" s="10">
        <v>5.0</v>
      </c>
      <c r="G13" s="10">
        <v>39.0</v>
      </c>
      <c r="H13" s="11">
        <f t="shared" si="1"/>
        <v>-34</v>
      </c>
      <c r="I13" s="10">
        <v>63.0</v>
      </c>
      <c r="J13" s="10">
        <v>35.0</v>
      </c>
      <c r="K13" s="10">
        <v>4.0</v>
      </c>
      <c r="L13" s="12">
        <v>3.0</v>
      </c>
      <c r="M13" s="10">
        <v>40.0</v>
      </c>
      <c r="N13" s="10">
        <v>7.0</v>
      </c>
      <c r="O13" s="10">
        <v>90.0</v>
      </c>
      <c r="P13" s="10">
        <v>5.0</v>
      </c>
      <c r="Q13" s="10">
        <v>40.0</v>
      </c>
      <c r="R13" s="10">
        <v>20.0</v>
      </c>
      <c r="S13" s="10">
        <v>70.0</v>
      </c>
      <c r="T13" s="10">
        <v>60.0</v>
      </c>
      <c r="U13" s="10">
        <v>40.0</v>
      </c>
      <c r="V13" s="7">
        <v>3.0</v>
      </c>
      <c r="W13" s="10">
        <v>4.0</v>
      </c>
      <c r="X13" s="15">
        <f t="shared" si="2"/>
        <v>0.3</v>
      </c>
      <c r="Y13" s="15">
        <f t="shared" si="3"/>
        <v>0.15</v>
      </c>
      <c r="Z13" s="15"/>
    </row>
    <row r="14">
      <c r="A14" s="31">
        <v>45814.0</v>
      </c>
      <c r="B14" s="10">
        <v>52.0</v>
      </c>
      <c r="C14" s="10">
        <v>48.0</v>
      </c>
      <c r="D14" s="10">
        <v>14.0</v>
      </c>
      <c r="E14" s="10">
        <v>29.0</v>
      </c>
      <c r="F14" s="10">
        <v>4.0</v>
      </c>
      <c r="G14" s="10">
        <v>40.0</v>
      </c>
      <c r="H14" s="11">
        <f t="shared" si="1"/>
        <v>-36</v>
      </c>
      <c r="I14" s="10">
        <v>62.0</v>
      </c>
      <c r="J14" s="10">
        <v>36.0</v>
      </c>
      <c r="K14" s="10">
        <v>2.5</v>
      </c>
      <c r="L14" s="12">
        <v>4.0</v>
      </c>
      <c r="M14" s="10">
        <v>38.0</v>
      </c>
      <c r="N14" s="10">
        <v>10.0</v>
      </c>
      <c r="O14" s="13">
        <v>90.0</v>
      </c>
      <c r="P14" s="14">
        <v>5.0</v>
      </c>
      <c r="Q14" s="14">
        <v>40.0</v>
      </c>
      <c r="R14" s="14">
        <v>20.0</v>
      </c>
      <c r="S14" s="10">
        <v>75.0</v>
      </c>
      <c r="T14" s="10">
        <v>60.0</v>
      </c>
      <c r="U14" s="10">
        <v>40.0</v>
      </c>
      <c r="V14" s="7">
        <v>2.0</v>
      </c>
      <c r="W14" s="10">
        <v>4.0</v>
      </c>
      <c r="X14" s="15">
        <f t="shared" si="2"/>
        <v>0.85</v>
      </c>
      <c r="Y14" s="15">
        <f t="shared" si="3"/>
        <v>0.15</v>
      </c>
      <c r="Z14" s="15"/>
    </row>
    <row r="15">
      <c r="A15" s="33">
        <v>45817.0</v>
      </c>
      <c r="B15" s="10">
        <v>55.0</v>
      </c>
      <c r="C15" s="10">
        <v>44.0</v>
      </c>
      <c r="D15" s="10">
        <v>9.0</v>
      </c>
      <c r="E15" s="10">
        <v>28.0</v>
      </c>
      <c r="F15" s="10">
        <v>2.0</v>
      </c>
      <c r="G15" s="10">
        <v>46.0</v>
      </c>
      <c r="H15" s="11">
        <f t="shared" si="1"/>
        <v>-44</v>
      </c>
      <c r="I15" s="10">
        <v>59.0</v>
      </c>
      <c r="J15" s="10">
        <v>39.0</v>
      </c>
      <c r="K15" s="10">
        <v>1.0</v>
      </c>
      <c r="L15" s="12">
        <v>5.0</v>
      </c>
      <c r="M15" s="10">
        <v>39.0</v>
      </c>
      <c r="N15" s="10">
        <v>12.0</v>
      </c>
      <c r="O15" s="13">
        <v>90.0</v>
      </c>
      <c r="P15" s="14">
        <v>5.0</v>
      </c>
      <c r="Q15" s="14">
        <v>40.0</v>
      </c>
      <c r="R15" s="14">
        <v>20.0</v>
      </c>
      <c r="S15" s="10">
        <v>81.0</v>
      </c>
      <c r="T15" s="10">
        <v>60.0</v>
      </c>
      <c r="U15" s="10">
        <v>40.0</v>
      </c>
      <c r="V15" s="32"/>
      <c r="W15" s="10">
        <v>4.0</v>
      </c>
      <c r="X15" s="15">
        <f t="shared" si="2"/>
        <v>0.85</v>
      </c>
      <c r="Y15" s="15">
        <f t="shared" si="3"/>
        <v>0.15</v>
      </c>
      <c r="Z15" s="15"/>
    </row>
    <row r="16">
      <c r="A16" s="31">
        <v>45818.0</v>
      </c>
      <c r="B16" s="10">
        <v>51.0</v>
      </c>
      <c r="C16" s="10">
        <v>48.0</v>
      </c>
      <c r="D16" s="10">
        <v>10.0</v>
      </c>
      <c r="E16" s="10">
        <v>23.0</v>
      </c>
      <c r="F16" s="10">
        <v>2.0</v>
      </c>
      <c r="G16" s="10">
        <v>46.0</v>
      </c>
      <c r="H16" s="11">
        <f t="shared" si="1"/>
        <v>-44</v>
      </c>
      <c r="I16" s="10">
        <v>60.0</v>
      </c>
      <c r="J16" s="10">
        <v>38.0</v>
      </c>
      <c r="K16" s="10">
        <v>1.0</v>
      </c>
      <c r="L16" s="12">
        <v>5.0</v>
      </c>
      <c r="M16" s="10">
        <v>37.0</v>
      </c>
      <c r="N16" s="10">
        <v>12.0</v>
      </c>
      <c r="O16" s="13">
        <v>90.0</v>
      </c>
      <c r="P16" s="14">
        <v>5.0</v>
      </c>
      <c r="Q16" s="14">
        <v>40.0</v>
      </c>
      <c r="R16" s="14">
        <v>20.0</v>
      </c>
      <c r="S16" s="10">
        <v>81.0</v>
      </c>
      <c r="T16" s="10">
        <v>60.0</v>
      </c>
      <c r="U16" s="10">
        <v>40.0</v>
      </c>
      <c r="V16" s="7">
        <v>2.0</v>
      </c>
      <c r="W16" s="10">
        <v>4.0</v>
      </c>
      <c r="X16" s="15">
        <f t="shared" si="2"/>
        <v>0.85</v>
      </c>
      <c r="Y16" s="15">
        <f t="shared" si="3"/>
        <v>0.15</v>
      </c>
      <c r="Z16" s="15"/>
    </row>
    <row r="17">
      <c r="A17" s="31">
        <v>45821.0</v>
      </c>
      <c r="B17" s="10">
        <v>20.0</v>
      </c>
      <c r="C17" s="10">
        <v>80.0</v>
      </c>
      <c r="D17" s="10">
        <v>2.0</v>
      </c>
      <c r="E17" s="10">
        <v>11.0</v>
      </c>
      <c r="F17" s="10">
        <v>16.0</v>
      </c>
      <c r="G17" s="10">
        <v>32.0</v>
      </c>
      <c r="H17" s="11">
        <f t="shared" si="1"/>
        <v>-16</v>
      </c>
      <c r="I17" s="10">
        <v>67.0</v>
      </c>
      <c r="J17" s="10">
        <v>33.0</v>
      </c>
      <c r="K17" s="10">
        <v>14.5</v>
      </c>
      <c r="L17" s="12">
        <v>1.5</v>
      </c>
      <c r="M17" s="10">
        <v>62.0</v>
      </c>
      <c r="N17" s="10">
        <v>2.5</v>
      </c>
      <c r="O17" s="13">
        <v>90.0</v>
      </c>
      <c r="P17" s="14">
        <v>5.0</v>
      </c>
      <c r="Q17" s="14">
        <v>40.0</v>
      </c>
      <c r="R17" s="14">
        <v>20.0</v>
      </c>
      <c r="S17" s="10">
        <v>61.0</v>
      </c>
      <c r="T17" s="10">
        <v>60.0</v>
      </c>
      <c r="U17" s="10">
        <v>40.0</v>
      </c>
      <c r="V17" s="32"/>
      <c r="W17" s="10">
        <v>4.0</v>
      </c>
      <c r="X17" s="15">
        <f t="shared" si="2"/>
        <v>0.35</v>
      </c>
      <c r="Y17" s="15">
        <f t="shared" si="3"/>
        <v>0.3</v>
      </c>
      <c r="Z17" s="15"/>
    </row>
    <row r="18">
      <c r="A18" s="31">
        <v>45824.0</v>
      </c>
      <c r="B18" s="10">
        <v>45.0</v>
      </c>
      <c r="C18" s="10">
        <v>55.0</v>
      </c>
      <c r="D18" s="10">
        <v>2.8</v>
      </c>
      <c r="E18" s="10">
        <v>11.4</v>
      </c>
      <c r="F18" s="10">
        <v>10.4</v>
      </c>
      <c r="G18" s="10">
        <v>32.0</v>
      </c>
      <c r="H18" s="11">
        <f t="shared" si="1"/>
        <v>-21.6</v>
      </c>
      <c r="I18" s="10">
        <v>65.0</v>
      </c>
      <c r="J18" s="10">
        <v>34.0</v>
      </c>
      <c r="K18" s="10">
        <v>7.0</v>
      </c>
      <c r="L18" s="12">
        <v>2.5</v>
      </c>
      <c r="M18" s="10">
        <v>44.8</v>
      </c>
      <c r="N18" s="10">
        <v>5.0</v>
      </c>
      <c r="O18" s="13">
        <v>90.0</v>
      </c>
      <c r="P18" s="14">
        <v>5.0</v>
      </c>
      <c r="Q18" s="14">
        <v>40.0</v>
      </c>
      <c r="R18" s="14">
        <v>20.0</v>
      </c>
      <c r="S18" s="10">
        <v>64.0</v>
      </c>
      <c r="T18" s="10">
        <v>60.0</v>
      </c>
      <c r="U18" s="10">
        <v>40.0</v>
      </c>
      <c r="V18" s="32"/>
      <c r="W18" s="10">
        <v>4.0</v>
      </c>
      <c r="X18" s="15">
        <f t="shared" si="2"/>
        <v>0.45</v>
      </c>
      <c r="Y18" s="15">
        <f t="shared" si="3"/>
        <v>0.15</v>
      </c>
      <c r="Z18" s="15"/>
    </row>
    <row r="19">
      <c r="A19" s="31">
        <v>45825.0</v>
      </c>
      <c r="B19" s="10">
        <v>52.0</v>
      </c>
      <c r="C19" s="10">
        <v>47.0</v>
      </c>
      <c r="D19" s="10">
        <v>19.55</v>
      </c>
      <c r="E19" s="10">
        <v>10.0</v>
      </c>
      <c r="F19" s="10">
        <v>7.0</v>
      </c>
      <c r="G19" s="10">
        <v>36.0</v>
      </c>
      <c r="H19" s="11">
        <f t="shared" si="1"/>
        <v>-29</v>
      </c>
      <c r="I19" s="10">
        <v>64.0</v>
      </c>
      <c r="J19" s="10">
        <v>35.0</v>
      </c>
      <c r="K19" s="10">
        <v>5.5</v>
      </c>
      <c r="L19" s="12">
        <v>3.0</v>
      </c>
      <c r="M19" s="10">
        <v>44.5</v>
      </c>
      <c r="N19" s="10">
        <v>5.5</v>
      </c>
      <c r="O19" s="13">
        <v>90.0</v>
      </c>
      <c r="P19" s="14">
        <v>5.0</v>
      </c>
      <c r="Q19" s="14">
        <v>40.0</v>
      </c>
      <c r="R19" s="14">
        <v>20.0</v>
      </c>
      <c r="S19" s="10">
        <v>54.0</v>
      </c>
      <c r="T19" s="10">
        <v>60.0</v>
      </c>
      <c r="U19" s="10">
        <v>40.0</v>
      </c>
      <c r="V19" s="32"/>
      <c r="W19" s="10">
        <v>4.0</v>
      </c>
      <c r="X19" s="15">
        <f t="shared" si="2"/>
        <v>0.3</v>
      </c>
      <c r="Y19" s="15">
        <f t="shared" si="3"/>
        <v>0.15</v>
      </c>
      <c r="Z19" s="15"/>
    </row>
    <row r="20">
      <c r="A20" s="31">
        <v>45826.0</v>
      </c>
      <c r="B20" s="10">
        <v>54.0</v>
      </c>
      <c r="C20" s="10">
        <v>45.0</v>
      </c>
      <c r="D20" s="10">
        <v>26.0</v>
      </c>
      <c r="E20" s="10">
        <v>14.0</v>
      </c>
      <c r="F20" s="10">
        <v>7.5</v>
      </c>
      <c r="G20" s="10">
        <v>35.0</v>
      </c>
      <c r="H20" s="11">
        <f t="shared" si="1"/>
        <v>-27.5</v>
      </c>
      <c r="I20" s="10">
        <v>63.0</v>
      </c>
      <c r="J20" s="10">
        <v>36.0</v>
      </c>
      <c r="K20" s="10">
        <v>7.1</v>
      </c>
      <c r="L20" s="12">
        <v>1.4</v>
      </c>
      <c r="M20" s="10">
        <v>53.0</v>
      </c>
      <c r="N20" s="10">
        <v>3.0</v>
      </c>
      <c r="O20" s="13">
        <v>90.0</v>
      </c>
      <c r="P20" s="14">
        <v>5.0</v>
      </c>
      <c r="Q20" s="14">
        <v>40.0</v>
      </c>
      <c r="R20" s="14">
        <v>20.0</v>
      </c>
      <c r="S20" s="10">
        <v>49.49</v>
      </c>
      <c r="T20" s="10">
        <v>60.0</v>
      </c>
      <c r="U20" s="10">
        <v>40.0</v>
      </c>
      <c r="V20" s="7">
        <v>6.0</v>
      </c>
      <c r="W20" s="10">
        <v>4.0</v>
      </c>
      <c r="X20" s="15">
        <f t="shared" si="2"/>
        <v>0.2</v>
      </c>
      <c r="Y20" s="15">
        <f t="shared" si="3"/>
        <v>0.55</v>
      </c>
      <c r="Z20" s="16" t="s">
        <v>26</v>
      </c>
    </row>
    <row r="21">
      <c r="A21" s="31">
        <v>45827.0</v>
      </c>
      <c r="B21" s="10">
        <v>48.0</v>
      </c>
      <c r="C21" s="10">
        <v>51.0</v>
      </c>
      <c r="D21" s="10">
        <v>17.9</v>
      </c>
      <c r="E21" s="10">
        <v>9.7</v>
      </c>
      <c r="F21" s="10">
        <v>7.3</v>
      </c>
      <c r="G21" s="10">
        <v>33.0</v>
      </c>
      <c r="H21" s="11">
        <f t="shared" si="1"/>
        <v>-25.7</v>
      </c>
      <c r="I21" s="10">
        <v>67.0</v>
      </c>
      <c r="J21" s="10">
        <v>32.0</v>
      </c>
      <c r="K21" s="10">
        <v>9.0</v>
      </c>
      <c r="L21" s="12">
        <v>1.0</v>
      </c>
      <c r="M21" s="10">
        <v>55.0</v>
      </c>
      <c r="N21" s="10">
        <v>1.8</v>
      </c>
      <c r="O21" s="13">
        <v>90.0</v>
      </c>
      <c r="P21" s="14">
        <v>5.0</v>
      </c>
      <c r="Q21" s="14">
        <v>40.0</v>
      </c>
      <c r="R21" s="14">
        <v>20.0</v>
      </c>
      <c r="S21" s="10">
        <v>36.66</v>
      </c>
      <c r="T21" s="10">
        <v>60.0</v>
      </c>
      <c r="U21" s="10">
        <v>40.0</v>
      </c>
      <c r="V21" s="7">
        <v>6.0</v>
      </c>
      <c r="W21" s="10">
        <v>4.0</v>
      </c>
      <c r="X21" s="15">
        <f t="shared" si="2"/>
        <v>0.2</v>
      </c>
      <c r="Y21" s="15">
        <f t="shared" si="3"/>
        <v>0.7</v>
      </c>
      <c r="Z21" s="16" t="s">
        <v>26</v>
      </c>
    </row>
    <row r="22">
      <c r="A22" s="31">
        <v>45828.0</v>
      </c>
      <c r="B22" s="10">
        <v>52.0</v>
      </c>
      <c r="C22" s="10">
        <v>47.0</v>
      </c>
      <c r="D22" s="10">
        <v>13.5</v>
      </c>
      <c r="E22" s="10">
        <v>17.5</v>
      </c>
      <c r="F22" s="10">
        <v>7.5</v>
      </c>
      <c r="G22" s="10">
        <v>19.0</v>
      </c>
      <c r="H22" s="11">
        <f t="shared" si="1"/>
        <v>-11.5</v>
      </c>
      <c r="I22" s="10">
        <v>67.0</v>
      </c>
      <c r="J22" s="10">
        <v>31.0</v>
      </c>
      <c r="K22" s="10">
        <v>7.0</v>
      </c>
      <c r="L22" s="12">
        <v>1.0</v>
      </c>
      <c r="M22" s="10">
        <v>51.0</v>
      </c>
      <c r="N22" s="10">
        <v>3.5</v>
      </c>
      <c r="O22" s="13">
        <v>90.0</v>
      </c>
      <c r="P22" s="14">
        <v>5.0</v>
      </c>
      <c r="Q22" s="14">
        <v>40.0</v>
      </c>
      <c r="R22" s="14">
        <v>20.0</v>
      </c>
      <c r="S22" s="10">
        <v>45.0</v>
      </c>
      <c r="T22" s="10">
        <v>60.0</v>
      </c>
      <c r="U22" s="10">
        <v>40.0</v>
      </c>
      <c r="V22" s="7">
        <v>4.0</v>
      </c>
      <c r="W22" s="10">
        <v>4.0</v>
      </c>
      <c r="X22" s="15">
        <f t="shared" si="2"/>
        <v>0.2</v>
      </c>
      <c r="Y22" s="15">
        <f t="shared" si="3"/>
        <v>0.55</v>
      </c>
      <c r="Z22" s="15"/>
    </row>
    <row r="23">
      <c r="A23" s="31">
        <v>45831.0</v>
      </c>
      <c r="B23" s="10">
        <v>63.0</v>
      </c>
      <c r="C23" s="10">
        <v>37.0</v>
      </c>
      <c r="D23" s="10">
        <v>28.0</v>
      </c>
      <c r="E23" s="10">
        <v>16.0</v>
      </c>
      <c r="F23" s="10">
        <v>7.0</v>
      </c>
      <c r="G23" s="10">
        <v>17.0</v>
      </c>
      <c r="H23" s="11">
        <f t="shared" si="1"/>
        <v>-10</v>
      </c>
      <c r="I23" s="10">
        <v>66.0</v>
      </c>
      <c r="J23" s="10">
        <v>44.0</v>
      </c>
      <c r="K23" s="10">
        <v>4.5</v>
      </c>
      <c r="L23" s="12">
        <v>1.0</v>
      </c>
      <c r="M23" s="10">
        <v>44.0</v>
      </c>
      <c r="N23" s="10">
        <v>2.5</v>
      </c>
      <c r="O23" s="13">
        <v>90.0</v>
      </c>
      <c r="P23" s="14">
        <v>5.0</v>
      </c>
      <c r="Q23" s="14">
        <v>40.0</v>
      </c>
      <c r="R23" s="14">
        <v>20.0</v>
      </c>
      <c r="S23" s="10">
        <v>46.0</v>
      </c>
      <c r="T23" s="10">
        <v>60.0</v>
      </c>
      <c r="U23" s="10">
        <v>40.0</v>
      </c>
      <c r="V23" s="7">
        <v>5.0</v>
      </c>
      <c r="W23" s="10">
        <v>4.0</v>
      </c>
      <c r="X23" s="15">
        <f t="shared" si="2"/>
        <v>0.2</v>
      </c>
      <c r="Y23" s="15">
        <f t="shared" si="3"/>
        <v>0.55</v>
      </c>
      <c r="Z23" s="15"/>
    </row>
    <row r="24">
      <c r="A24" s="31">
        <v>45838.0</v>
      </c>
      <c r="B24" s="10">
        <v>50.0</v>
      </c>
      <c r="C24" s="10">
        <v>49.0</v>
      </c>
      <c r="D24" s="10">
        <v>9.0</v>
      </c>
      <c r="E24" s="10">
        <v>31.0</v>
      </c>
      <c r="F24" s="10">
        <v>4.5</v>
      </c>
      <c r="G24" s="10">
        <v>17.0</v>
      </c>
      <c r="H24" s="11">
        <f t="shared" si="1"/>
        <v>-12.5</v>
      </c>
      <c r="I24" s="10">
        <v>56.0</v>
      </c>
      <c r="J24" s="10">
        <v>42.0</v>
      </c>
      <c r="K24" s="10">
        <v>2.0</v>
      </c>
      <c r="L24" s="12">
        <v>0.82</v>
      </c>
      <c r="M24" s="10">
        <v>48.0</v>
      </c>
      <c r="N24" s="10">
        <v>3.5</v>
      </c>
      <c r="O24" s="13">
        <v>90.0</v>
      </c>
      <c r="P24" s="14">
        <v>5.0</v>
      </c>
      <c r="Q24" s="14">
        <v>40.0</v>
      </c>
      <c r="R24" s="14">
        <v>20.0</v>
      </c>
      <c r="S24" s="16">
        <v>73.0</v>
      </c>
      <c r="T24" s="10">
        <v>60.0</v>
      </c>
      <c r="U24" s="10">
        <v>40.0</v>
      </c>
      <c r="V24" s="7">
        <v>3.0</v>
      </c>
      <c r="W24" s="10">
        <v>4.0</v>
      </c>
      <c r="X24" s="15">
        <f t="shared" si="2"/>
        <v>0.75</v>
      </c>
      <c r="Y24" s="15">
        <f t="shared" si="3"/>
        <v>0.15</v>
      </c>
      <c r="Z24" s="15"/>
    </row>
    <row r="25">
      <c r="A25" s="31">
        <v>45839.0</v>
      </c>
      <c r="B25" s="10">
        <v>33.0</v>
      </c>
      <c r="C25" s="10">
        <v>66.0</v>
      </c>
      <c r="D25" s="10">
        <v>12.0</v>
      </c>
      <c r="E25" s="10">
        <v>33.0</v>
      </c>
      <c r="F25" s="10">
        <v>4.0</v>
      </c>
      <c r="G25" s="10">
        <v>16.0</v>
      </c>
      <c r="H25" s="11">
        <f t="shared" si="1"/>
        <v>-12</v>
      </c>
      <c r="I25" s="10">
        <v>53.0</v>
      </c>
      <c r="J25" s="10">
        <v>44.0</v>
      </c>
      <c r="K25" s="10">
        <v>1.6</v>
      </c>
      <c r="L25" s="12">
        <v>1.8</v>
      </c>
      <c r="M25" s="10">
        <v>42.0</v>
      </c>
      <c r="N25" s="10">
        <v>3.8</v>
      </c>
      <c r="O25" s="13">
        <v>90.0</v>
      </c>
      <c r="P25" s="14">
        <v>5.0</v>
      </c>
      <c r="Q25" s="14">
        <v>40.0</v>
      </c>
      <c r="R25" s="14">
        <v>20.0</v>
      </c>
      <c r="S25" s="16">
        <v>70.0</v>
      </c>
      <c r="T25" s="10">
        <v>60.0</v>
      </c>
      <c r="U25" s="10">
        <v>40.0</v>
      </c>
      <c r="V25" s="7">
        <v>2.0</v>
      </c>
      <c r="W25" s="10">
        <v>4.0</v>
      </c>
      <c r="X25" s="15">
        <f t="shared" si="2"/>
        <v>0.35</v>
      </c>
      <c r="Y25" s="15">
        <f t="shared" si="3"/>
        <v>0.15</v>
      </c>
      <c r="Z25" s="15"/>
    </row>
    <row r="26">
      <c r="A26" s="31">
        <v>45840.0</v>
      </c>
      <c r="B26" s="10">
        <v>27.0</v>
      </c>
      <c r="C26" s="10">
        <v>72.0</v>
      </c>
      <c r="D26" s="10">
        <v>9.5</v>
      </c>
      <c r="E26" s="10">
        <v>32.0</v>
      </c>
      <c r="F26" s="10">
        <v>3.8</v>
      </c>
      <c r="G26" s="10">
        <v>15.0</v>
      </c>
      <c r="H26" s="11">
        <f t="shared" si="1"/>
        <v>-11.2</v>
      </c>
      <c r="I26" s="10">
        <v>52.0</v>
      </c>
      <c r="J26" s="10">
        <v>47.0</v>
      </c>
      <c r="K26" s="10">
        <v>1.5</v>
      </c>
      <c r="L26" s="12">
        <v>1.5</v>
      </c>
      <c r="M26" s="10">
        <v>37.0</v>
      </c>
      <c r="N26" s="10">
        <v>4.0</v>
      </c>
      <c r="O26" s="13">
        <v>90.0</v>
      </c>
      <c r="P26" s="14">
        <v>5.0</v>
      </c>
      <c r="Q26" s="14">
        <v>40.0</v>
      </c>
      <c r="R26" s="14">
        <v>20.0</v>
      </c>
      <c r="S26" s="16">
        <v>70.0</v>
      </c>
      <c r="T26" s="10">
        <v>60.0</v>
      </c>
      <c r="U26" s="10">
        <v>40.0</v>
      </c>
      <c r="V26" s="7">
        <v>2.0</v>
      </c>
      <c r="W26" s="10">
        <v>4.0</v>
      </c>
      <c r="X26" s="15">
        <f t="shared" si="2"/>
        <v>0.15</v>
      </c>
      <c r="Y26" s="15">
        <f t="shared" si="3"/>
        <v>0.15</v>
      </c>
      <c r="Z26" s="15"/>
    </row>
    <row r="27">
      <c r="A27" s="31">
        <v>45842.0</v>
      </c>
      <c r="B27" s="10">
        <v>30.0</v>
      </c>
      <c r="C27" s="10">
        <v>70.0</v>
      </c>
      <c r="D27" s="10">
        <v>18.0</v>
      </c>
      <c r="E27" s="10">
        <v>33.0</v>
      </c>
      <c r="F27" s="10">
        <v>4.5</v>
      </c>
      <c r="G27" s="10">
        <v>15.7</v>
      </c>
      <c r="H27" s="11">
        <f t="shared" si="1"/>
        <v>-11.2</v>
      </c>
      <c r="I27" s="10">
        <v>53.0</v>
      </c>
      <c r="J27" s="10">
        <v>45.0</v>
      </c>
      <c r="K27" s="10">
        <v>2.5</v>
      </c>
      <c r="L27" s="12">
        <v>2.0</v>
      </c>
      <c r="M27" s="10">
        <v>47.0</v>
      </c>
      <c r="N27" s="10">
        <v>3.6</v>
      </c>
      <c r="O27" s="13">
        <v>90.0</v>
      </c>
      <c r="P27" s="14">
        <v>5.0</v>
      </c>
      <c r="Q27" s="14">
        <v>40.0</v>
      </c>
      <c r="R27" s="14">
        <v>20.0</v>
      </c>
      <c r="S27" s="16">
        <v>71.6</v>
      </c>
      <c r="T27" s="10">
        <v>60.0</v>
      </c>
      <c r="U27" s="10">
        <v>40.0</v>
      </c>
      <c r="V27" s="7">
        <v>3.0</v>
      </c>
      <c r="W27" s="10">
        <v>4.0</v>
      </c>
      <c r="X27" s="15">
        <f t="shared" si="2"/>
        <v>0.6</v>
      </c>
      <c r="Y27" s="15">
        <f t="shared" si="3"/>
        <v>0.15</v>
      </c>
      <c r="Z27" s="15"/>
    </row>
    <row r="28">
      <c r="A28" s="31">
        <v>45845.0</v>
      </c>
      <c r="B28" s="10">
        <v>33.0</v>
      </c>
      <c r="C28" s="10">
        <v>66.0</v>
      </c>
      <c r="D28" s="10">
        <v>18.0</v>
      </c>
      <c r="E28" s="10">
        <v>31.0</v>
      </c>
      <c r="F28" s="10">
        <v>4.0</v>
      </c>
      <c r="G28" s="10">
        <v>15.0</v>
      </c>
      <c r="H28" s="11">
        <f t="shared" si="1"/>
        <v>-11</v>
      </c>
      <c r="I28" s="10">
        <v>52.0</v>
      </c>
      <c r="J28" s="10">
        <v>46.0</v>
      </c>
      <c r="K28" s="10">
        <v>2.5</v>
      </c>
      <c r="L28" s="12">
        <v>2.5</v>
      </c>
      <c r="M28" s="10">
        <v>47.0</v>
      </c>
      <c r="N28" s="10">
        <v>3.0</v>
      </c>
      <c r="O28" s="13">
        <v>90.0</v>
      </c>
      <c r="P28" s="14">
        <v>5.0</v>
      </c>
      <c r="Q28" s="14">
        <v>40.0</v>
      </c>
      <c r="R28" s="14">
        <v>20.0</v>
      </c>
      <c r="S28" s="16">
        <v>68.0</v>
      </c>
      <c r="T28" s="10">
        <v>60.0</v>
      </c>
      <c r="U28" s="10">
        <v>40.0</v>
      </c>
      <c r="V28" s="7">
        <v>3.0</v>
      </c>
      <c r="W28" s="10">
        <v>4.0</v>
      </c>
      <c r="X28" s="15">
        <f t="shared" si="2"/>
        <v>0</v>
      </c>
      <c r="Y28" s="15">
        <f t="shared" si="3"/>
        <v>0.15</v>
      </c>
      <c r="Z28" s="15"/>
    </row>
    <row r="29">
      <c r="A29" s="31">
        <v>45846.0</v>
      </c>
      <c r="B29" s="10">
        <v>36.0</v>
      </c>
      <c r="C29" s="10">
        <v>63.0</v>
      </c>
      <c r="D29" s="10">
        <v>14.0</v>
      </c>
      <c r="E29" s="10">
        <v>27.0</v>
      </c>
      <c r="F29" s="10">
        <v>4.0</v>
      </c>
      <c r="G29" s="10">
        <v>14.0</v>
      </c>
      <c r="H29" s="11">
        <f t="shared" si="1"/>
        <v>-10</v>
      </c>
      <c r="I29" s="10">
        <v>53.0</v>
      </c>
      <c r="J29" s="10">
        <v>45.0</v>
      </c>
      <c r="K29" s="10">
        <v>2.0</v>
      </c>
      <c r="L29" s="12">
        <v>2.0</v>
      </c>
      <c r="M29" s="10">
        <v>48.0</v>
      </c>
      <c r="N29" s="10">
        <v>3.0</v>
      </c>
      <c r="O29" s="13">
        <v>90.0</v>
      </c>
      <c r="P29" s="14">
        <v>5.0</v>
      </c>
      <c r="Q29" s="14">
        <v>40.0</v>
      </c>
      <c r="R29" s="14">
        <v>20.0</v>
      </c>
      <c r="S29" s="16">
        <v>66.0</v>
      </c>
      <c r="T29" s="10">
        <v>60.0</v>
      </c>
      <c r="U29" s="10">
        <v>40.0</v>
      </c>
      <c r="V29" s="7">
        <v>3.0</v>
      </c>
      <c r="W29" s="10">
        <v>4.0</v>
      </c>
      <c r="X29" s="15">
        <f t="shared" si="2"/>
        <v>0</v>
      </c>
      <c r="Y29" s="15">
        <f t="shared" si="3"/>
        <v>0.15</v>
      </c>
      <c r="Z29" s="15"/>
    </row>
    <row r="30">
      <c r="A30" s="31">
        <v>45847.0</v>
      </c>
      <c r="B30" s="10">
        <v>40.0</v>
      </c>
      <c r="C30" s="10">
        <v>60.0</v>
      </c>
      <c r="D30" s="10">
        <v>16.0</v>
      </c>
      <c r="E30" s="10">
        <v>29.0</v>
      </c>
      <c r="F30" s="10">
        <v>4.0</v>
      </c>
      <c r="G30" s="10">
        <v>14.0</v>
      </c>
      <c r="H30" s="11">
        <f t="shared" si="1"/>
        <v>-10</v>
      </c>
      <c r="I30" s="10">
        <v>53.0</v>
      </c>
      <c r="J30" s="10">
        <v>46.0</v>
      </c>
      <c r="K30" s="10">
        <v>2.0</v>
      </c>
      <c r="L30" s="12">
        <v>2.0</v>
      </c>
      <c r="M30" s="10">
        <v>40.0</v>
      </c>
      <c r="N30" s="10">
        <v>4.0</v>
      </c>
      <c r="O30" s="10">
        <v>90.0</v>
      </c>
      <c r="P30" s="10">
        <v>5.0</v>
      </c>
      <c r="Q30" s="10">
        <v>40.0</v>
      </c>
      <c r="R30" s="10">
        <v>20.0</v>
      </c>
      <c r="S30" s="16">
        <v>65.0</v>
      </c>
      <c r="T30" s="10">
        <v>60.0</v>
      </c>
      <c r="U30" s="10">
        <v>40.0</v>
      </c>
      <c r="V30" s="7">
        <v>3.0</v>
      </c>
      <c r="W30" s="10">
        <v>4.0</v>
      </c>
      <c r="X30" s="15">
        <f t="shared" si="2"/>
        <v>0</v>
      </c>
      <c r="Y30" s="15">
        <f t="shared" si="3"/>
        <v>0.15</v>
      </c>
      <c r="Z30" s="15"/>
    </row>
    <row r="31">
      <c r="A31" s="31">
        <v>45848.0</v>
      </c>
      <c r="B31" s="10">
        <v>43.0</v>
      </c>
      <c r="C31" s="10">
        <v>56.0</v>
      </c>
      <c r="D31" s="10">
        <v>22.0</v>
      </c>
      <c r="E31" s="10">
        <v>25.0</v>
      </c>
      <c r="F31" s="10">
        <v>5.0</v>
      </c>
      <c r="G31" s="10">
        <v>13.0</v>
      </c>
      <c r="H31" s="11">
        <f t="shared" si="1"/>
        <v>-8</v>
      </c>
      <c r="I31" s="10">
        <v>53.0</v>
      </c>
      <c r="J31" s="10">
        <v>45.0</v>
      </c>
      <c r="K31" s="10">
        <v>2.0</v>
      </c>
      <c r="L31" s="12">
        <v>2.0</v>
      </c>
      <c r="M31" s="10">
        <v>40.0</v>
      </c>
      <c r="N31" s="10">
        <v>3.0</v>
      </c>
      <c r="O31" s="10">
        <v>90.0</v>
      </c>
      <c r="P31" s="10">
        <v>5.0</v>
      </c>
      <c r="Q31" s="10">
        <v>40.0</v>
      </c>
      <c r="R31" s="10">
        <v>20.0</v>
      </c>
      <c r="S31" s="16">
        <v>62.0</v>
      </c>
      <c r="T31" s="10">
        <v>60.0</v>
      </c>
      <c r="U31" s="10">
        <v>40.0</v>
      </c>
      <c r="V31" s="7">
        <v>3.0</v>
      </c>
      <c r="W31" s="10">
        <v>4.0</v>
      </c>
      <c r="X31" s="15">
        <f t="shared" si="2"/>
        <v>0</v>
      </c>
      <c r="Y31" s="15">
        <f t="shared" si="3"/>
        <v>0.15</v>
      </c>
      <c r="Z31" s="15"/>
    </row>
    <row r="32">
      <c r="A32" s="31">
        <v>45849.0</v>
      </c>
      <c r="B32" s="10">
        <v>41.0</v>
      </c>
      <c r="C32" s="10">
        <v>58.0</v>
      </c>
      <c r="D32" s="10">
        <v>13.0</v>
      </c>
      <c r="E32" s="10">
        <v>17.0</v>
      </c>
      <c r="F32" s="10">
        <v>5.0</v>
      </c>
      <c r="G32" s="10">
        <v>12.0</v>
      </c>
      <c r="H32" s="11">
        <f t="shared" si="1"/>
        <v>-7</v>
      </c>
      <c r="I32" s="10">
        <v>55.0</v>
      </c>
      <c r="J32" s="10">
        <v>43.0</v>
      </c>
      <c r="K32" s="10">
        <v>3.0</v>
      </c>
      <c r="L32" s="12">
        <v>0.82</v>
      </c>
      <c r="M32" s="10">
        <v>41.0</v>
      </c>
      <c r="N32" s="10">
        <v>2.0</v>
      </c>
      <c r="O32" s="10">
        <v>90.0</v>
      </c>
      <c r="P32" s="10">
        <v>5.0</v>
      </c>
      <c r="Q32" s="10">
        <v>40.0</v>
      </c>
      <c r="R32" s="10">
        <v>20.0</v>
      </c>
      <c r="S32" s="10">
        <v>51.0</v>
      </c>
      <c r="T32" s="10">
        <v>60.0</v>
      </c>
      <c r="U32" s="10">
        <v>40.0</v>
      </c>
      <c r="V32" s="7">
        <v>3.0</v>
      </c>
      <c r="W32" s="10">
        <v>4.0</v>
      </c>
      <c r="X32" s="15">
        <f t="shared" si="2"/>
        <v>0</v>
      </c>
      <c r="Y32" s="15">
        <f t="shared" si="3"/>
        <v>0.15</v>
      </c>
      <c r="Z32" s="15"/>
    </row>
    <row r="33">
      <c r="A33" s="31">
        <v>45852.0</v>
      </c>
      <c r="B33" s="10">
        <v>44.0</v>
      </c>
      <c r="C33" s="10">
        <v>55.0</v>
      </c>
      <c r="D33" s="10">
        <v>12.0</v>
      </c>
      <c r="E33" s="10">
        <v>19.0</v>
      </c>
      <c r="F33" s="10">
        <v>6.0</v>
      </c>
      <c r="G33" s="10">
        <v>12.0</v>
      </c>
      <c r="H33" s="11">
        <f t="shared" si="1"/>
        <v>-6</v>
      </c>
      <c r="I33" s="10">
        <v>55.0</v>
      </c>
      <c r="J33" s="10">
        <v>43.0</v>
      </c>
      <c r="K33" s="10">
        <v>3.0</v>
      </c>
      <c r="L33" s="12">
        <v>1.6</v>
      </c>
      <c r="M33" s="10">
        <v>43.0</v>
      </c>
      <c r="N33" s="10">
        <v>3.0</v>
      </c>
      <c r="O33" s="10">
        <v>90.0</v>
      </c>
      <c r="P33" s="10">
        <v>5.0</v>
      </c>
      <c r="Q33" s="10">
        <v>40.0</v>
      </c>
      <c r="R33" s="10">
        <v>20.0</v>
      </c>
      <c r="S33" s="10">
        <v>54.0</v>
      </c>
      <c r="T33" s="10">
        <v>60.0</v>
      </c>
      <c r="U33" s="10">
        <v>40.0</v>
      </c>
      <c r="V33" s="7">
        <v>2.0</v>
      </c>
      <c r="W33" s="10">
        <v>4.0</v>
      </c>
      <c r="X33" s="15">
        <f t="shared" si="2"/>
        <v>0</v>
      </c>
      <c r="Y33" s="15">
        <f t="shared" si="3"/>
        <v>0.15</v>
      </c>
      <c r="Z33" s="15"/>
    </row>
    <row r="34">
      <c r="A34" s="31">
        <v>45856.0</v>
      </c>
      <c r="B34" s="10">
        <v>42.0</v>
      </c>
      <c r="C34" s="10">
        <v>57.0</v>
      </c>
      <c r="D34" s="10">
        <v>15.0</v>
      </c>
      <c r="E34" s="10">
        <v>20.0</v>
      </c>
      <c r="F34" s="10">
        <v>5.0</v>
      </c>
      <c r="G34" s="10">
        <v>14.0</v>
      </c>
      <c r="H34" s="11">
        <f t="shared" si="1"/>
        <v>-9</v>
      </c>
      <c r="I34" s="10">
        <v>52.0</v>
      </c>
      <c r="J34" s="10">
        <v>46.0</v>
      </c>
      <c r="K34" s="10">
        <v>2.2</v>
      </c>
      <c r="L34" s="12">
        <v>2.6</v>
      </c>
      <c r="M34" s="10">
        <v>37.0</v>
      </c>
      <c r="N34" s="10">
        <v>4.6</v>
      </c>
      <c r="O34" s="10">
        <v>90.0</v>
      </c>
      <c r="P34" s="10">
        <v>5.0</v>
      </c>
      <c r="Q34" s="10">
        <v>40.0</v>
      </c>
      <c r="R34" s="10">
        <v>20.0</v>
      </c>
      <c r="S34" s="10">
        <v>56.0</v>
      </c>
      <c r="T34" s="10">
        <v>60.0</v>
      </c>
      <c r="U34" s="10">
        <v>40.0</v>
      </c>
      <c r="V34" s="7">
        <v>3.0</v>
      </c>
      <c r="W34" s="10">
        <v>4.0</v>
      </c>
      <c r="X34" s="15">
        <f t="shared" si="2"/>
        <v>0.1</v>
      </c>
      <c r="Y34" s="15">
        <f t="shared" si="3"/>
        <v>0.15</v>
      </c>
      <c r="Z34" s="15"/>
    </row>
    <row r="35">
      <c r="A35" s="31">
        <v>45857.0</v>
      </c>
      <c r="B35" s="10">
        <v>42.0</v>
      </c>
      <c r="C35" s="10">
        <v>57.0</v>
      </c>
      <c r="D35" s="10">
        <v>15.0</v>
      </c>
      <c r="E35" s="10">
        <v>21.0</v>
      </c>
      <c r="F35" s="10">
        <v>5.0</v>
      </c>
      <c r="G35" s="10">
        <v>14.0</v>
      </c>
      <c r="H35" s="11">
        <f t="shared" si="1"/>
        <v>-9</v>
      </c>
      <c r="I35" s="10">
        <v>52.0</v>
      </c>
      <c r="J35" s="10">
        <v>46.0</v>
      </c>
      <c r="K35" s="10">
        <v>2.0</v>
      </c>
      <c r="L35" s="12">
        <v>2.6</v>
      </c>
      <c r="M35" s="10">
        <v>37.0</v>
      </c>
      <c r="N35" s="10">
        <v>4.6</v>
      </c>
      <c r="O35" s="10">
        <v>90.0</v>
      </c>
      <c r="P35" s="14">
        <v>5.0</v>
      </c>
      <c r="Q35" s="10">
        <v>40.0</v>
      </c>
      <c r="R35" s="10">
        <v>20.0</v>
      </c>
      <c r="S35" s="10">
        <v>56.0</v>
      </c>
      <c r="T35" s="10">
        <v>60.0</v>
      </c>
      <c r="U35" s="10">
        <v>40.0</v>
      </c>
      <c r="V35" s="7">
        <v>3.0</v>
      </c>
      <c r="W35" s="10">
        <v>4.0</v>
      </c>
      <c r="X35" s="15">
        <f t="shared" si="2"/>
        <v>0.1</v>
      </c>
      <c r="Y35" s="15">
        <f t="shared" si="3"/>
        <v>0.15</v>
      </c>
      <c r="Z35" s="15"/>
    </row>
    <row r="36">
      <c r="A36" s="31">
        <v>45864.0</v>
      </c>
      <c r="B36" s="10">
        <v>46.0</v>
      </c>
      <c r="C36" s="10">
        <v>53.0</v>
      </c>
      <c r="D36" s="10">
        <v>8.0</v>
      </c>
      <c r="E36" s="10">
        <v>8.0</v>
      </c>
      <c r="F36" s="10">
        <v>10.0</v>
      </c>
      <c r="G36" s="10">
        <v>11.0</v>
      </c>
      <c r="H36" s="11">
        <f t="shared" si="1"/>
        <v>-1</v>
      </c>
      <c r="I36" s="10">
        <v>58.0</v>
      </c>
      <c r="J36" s="10">
        <v>40.0</v>
      </c>
      <c r="K36" s="10">
        <v>5.3</v>
      </c>
      <c r="L36" s="12">
        <v>1.0</v>
      </c>
      <c r="M36" s="10">
        <v>44.0</v>
      </c>
      <c r="N36" s="10">
        <v>2.8</v>
      </c>
      <c r="O36" s="10">
        <v>90.0</v>
      </c>
      <c r="P36" s="14">
        <v>5.0</v>
      </c>
      <c r="Q36" s="10">
        <v>40.0</v>
      </c>
      <c r="R36" s="10">
        <v>20.0</v>
      </c>
      <c r="S36" s="10">
        <v>30.0</v>
      </c>
      <c r="T36" s="10">
        <v>60.0</v>
      </c>
      <c r="U36" s="10">
        <v>40.0</v>
      </c>
      <c r="V36" s="7">
        <v>5.0</v>
      </c>
      <c r="W36" s="10">
        <v>4.0</v>
      </c>
      <c r="X36" s="15">
        <f t="shared" si="2"/>
        <v>0</v>
      </c>
      <c r="Y36" s="15">
        <f t="shared" si="3"/>
        <v>0.7</v>
      </c>
      <c r="Z36" s="15"/>
    </row>
    <row r="37">
      <c r="A37" s="31">
        <v>45867.0</v>
      </c>
      <c r="B37" s="10">
        <v>59.0</v>
      </c>
      <c r="C37" s="10">
        <v>40.0</v>
      </c>
      <c r="D37" s="10">
        <v>15.0</v>
      </c>
      <c r="E37" s="10">
        <v>13.0</v>
      </c>
      <c r="F37" s="10">
        <v>16.0</v>
      </c>
      <c r="G37" s="10">
        <v>10.0</v>
      </c>
      <c r="H37" s="11">
        <f t="shared" si="1"/>
        <v>6</v>
      </c>
      <c r="I37" s="10">
        <v>63.0</v>
      </c>
      <c r="J37" s="10">
        <v>35.0</v>
      </c>
      <c r="K37" s="10">
        <v>7.9</v>
      </c>
      <c r="L37" s="12">
        <v>1.8</v>
      </c>
      <c r="M37" s="10">
        <v>44.0</v>
      </c>
      <c r="N37" s="10">
        <v>3.2</v>
      </c>
      <c r="O37" s="10">
        <v>90.0</v>
      </c>
      <c r="P37" s="10">
        <v>5.0</v>
      </c>
      <c r="Q37" s="10">
        <v>40.0</v>
      </c>
      <c r="R37" s="10">
        <v>20.0</v>
      </c>
      <c r="S37" s="10">
        <v>31.0</v>
      </c>
      <c r="T37" s="10">
        <v>60.0</v>
      </c>
      <c r="U37" s="10">
        <v>40.0</v>
      </c>
      <c r="V37" s="7">
        <v>7.0</v>
      </c>
      <c r="W37" s="10">
        <v>4.0</v>
      </c>
      <c r="X37" s="15">
        <f t="shared" si="2"/>
        <v>0</v>
      </c>
      <c r="Y37" s="15">
        <f t="shared" si="3"/>
        <v>0.85</v>
      </c>
      <c r="Z37" s="15"/>
    </row>
    <row r="38">
      <c r="A38" s="31">
        <v>45868.0</v>
      </c>
      <c r="B38" s="10">
        <v>74.0</v>
      </c>
      <c r="C38" s="10">
        <v>25.0</v>
      </c>
      <c r="D38" s="10">
        <v>23.0</v>
      </c>
      <c r="E38" s="10">
        <v>10.0</v>
      </c>
      <c r="F38" s="10">
        <v>13.0</v>
      </c>
      <c r="G38" s="10">
        <v>11.0</v>
      </c>
      <c r="H38" s="11">
        <f t="shared" si="1"/>
        <v>2</v>
      </c>
      <c r="I38" s="10">
        <v>62.0</v>
      </c>
      <c r="J38" s="10">
        <v>35.0</v>
      </c>
      <c r="K38" s="10">
        <v>3.6</v>
      </c>
      <c r="L38" s="12">
        <v>1.6</v>
      </c>
      <c r="M38" s="10">
        <v>37.0</v>
      </c>
      <c r="N38" s="10">
        <v>4.0</v>
      </c>
      <c r="O38" s="10">
        <v>90.0</v>
      </c>
      <c r="P38" s="10">
        <v>5.0</v>
      </c>
      <c r="Q38" s="10">
        <v>40.0</v>
      </c>
      <c r="R38" s="10">
        <v>20.0</v>
      </c>
      <c r="S38" s="10">
        <v>34.0</v>
      </c>
      <c r="T38" s="10">
        <v>60.0</v>
      </c>
      <c r="U38" s="10">
        <v>40.0</v>
      </c>
      <c r="V38" s="7">
        <v>5.0</v>
      </c>
      <c r="W38" s="10">
        <v>4.0</v>
      </c>
      <c r="X38" s="15">
        <f t="shared" si="2"/>
        <v>0</v>
      </c>
      <c r="Y38" s="15">
        <f t="shared" si="3"/>
        <v>0.85</v>
      </c>
      <c r="Z38" s="15"/>
    </row>
    <row r="39">
      <c r="A39" s="31">
        <v>45869.0</v>
      </c>
      <c r="B39" s="10">
        <v>72.0</v>
      </c>
      <c r="C39" s="10">
        <v>28.0</v>
      </c>
      <c r="D39" s="10">
        <v>12.0</v>
      </c>
      <c r="E39" s="10">
        <v>8.0</v>
      </c>
      <c r="F39" s="10">
        <v>15.0</v>
      </c>
      <c r="G39" s="10">
        <v>11.0</v>
      </c>
      <c r="H39" s="11">
        <f t="shared" si="1"/>
        <v>4</v>
      </c>
      <c r="I39" s="10">
        <v>66.0</v>
      </c>
      <c r="J39" s="10">
        <v>34.0</v>
      </c>
      <c r="K39" s="10">
        <v>7.0</v>
      </c>
      <c r="L39" s="12">
        <v>0.8</v>
      </c>
      <c r="M39" s="10">
        <v>39.0</v>
      </c>
      <c r="N39" s="10">
        <v>2.0</v>
      </c>
      <c r="O39" s="10">
        <v>90.0</v>
      </c>
      <c r="P39" s="10">
        <v>5.0</v>
      </c>
      <c r="Q39" s="10">
        <v>40.0</v>
      </c>
      <c r="R39" s="10">
        <v>20.0</v>
      </c>
      <c r="S39" s="10">
        <v>29.0</v>
      </c>
      <c r="T39" s="10">
        <v>60.0</v>
      </c>
      <c r="U39" s="10">
        <v>40.0</v>
      </c>
      <c r="V39" s="7">
        <v>8.0</v>
      </c>
      <c r="W39" s="10">
        <v>4.0</v>
      </c>
      <c r="X39" s="15">
        <f t="shared" si="2"/>
        <v>0</v>
      </c>
      <c r="Y39" s="15">
        <f t="shared" si="3"/>
        <v>0.7</v>
      </c>
      <c r="Z39" s="15"/>
    </row>
    <row r="40">
      <c r="A40" s="31">
        <v>45870.0</v>
      </c>
      <c r="B40" s="10">
        <v>72.0</v>
      </c>
      <c r="C40" s="10">
        <v>28.0</v>
      </c>
      <c r="D40" s="10">
        <v>10.0</v>
      </c>
      <c r="E40" s="10">
        <v>6.0</v>
      </c>
      <c r="F40" s="10">
        <v>18.0</v>
      </c>
      <c r="G40" s="10">
        <v>8.0</v>
      </c>
      <c r="H40" s="11">
        <f t="shared" si="1"/>
        <v>10</v>
      </c>
      <c r="I40" s="10">
        <v>67.0</v>
      </c>
      <c r="J40" s="10">
        <v>31.0</v>
      </c>
      <c r="K40" s="10">
        <v>8.0</v>
      </c>
      <c r="L40" s="12">
        <v>1.0</v>
      </c>
      <c r="M40" s="10">
        <v>40.0</v>
      </c>
      <c r="N40" s="10">
        <v>31.0</v>
      </c>
      <c r="O40" s="10">
        <v>90.0</v>
      </c>
      <c r="P40" s="10">
        <v>5.0</v>
      </c>
      <c r="Q40" s="10">
        <v>40.0</v>
      </c>
      <c r="R40" s="10">
        <v>20.0</v>
      </c>
      <c r="S40" s="10">
        <v>23.0</v>
      </c>
      <c r="T40" s="10">
        <v>60.0</v>
      </c>
      <c r="U40" s="10">
        <v>40.0</v>
      </c>
      <c r="V40" s="7">
        <v>8.0</v>
      </c>
      <c r="W40" s="10">
        <v>4.0</v>
      </c>
      <c r="X40" s="15">
        <f t="shared" si="2"/>
        <v>0.1</v>
      </c>
      <c r="Y40" s="15">
        <f t="shared" si="3"/>
        <v>0.85</v>
      </c>
      <c r="Z40" s="15"/>
    </row>
    <row r="41">
      <c r="A41" s="31">
        <v>45873.0</v>
      </c>
      <c r="B41" s="10">
        <v>33.0</v>
      </c>
      <c r="C41" s="10">
        <v>67.0</v>
      </c>
      <c r="D41" s="10">
        <v>15.0</v>
      </c>
      <c r="E41" s="10">
        <v>10.0</v>
      </c>
      <c r="F41" s="10">
        <v>20.0</v>
      </c>
      <c r="G41" s="10">
        <v>8.0</v>
      </c>
      <c r="H41" s="11">
        <f t="shared" si="1"/>
        <v>12</v>
      </c>
      <c r="I41" s="10">
        <v>68.0</v>
      </c>
      <c r="J41" s="10">
        <v>31.0</v>
      </c>
      <c r="K41" s="10">
        <v>7.0</v>
      </c>
      <c r="L41" s="12">
        <v>0.41</v>
      </c>
      <c r="M41" s="10">
        <v>37.0</v>
      </c>
      <c r="N41" s="10">
        <v>7.0</v>
      </c>
      <c r="O41" s="10">
        <v>90.0</v>
      </c>
      <c r="P41" s="10">
        <v>5.0</v>
      </c>
      <c r="Q41" s="10">
        <v>40.0</v>
      </c>
      <c r="R41" s="10">
        <v>20.0</v>
      </c>
      <c r="S41" s="10">
        <v>27.0</v>
      </c>
      <c r="T41" s="10">
        <v>60.0</v>
      </c>
      <c r="U41" s="10">
        <v>40.0</v>
      </c>
      <c r="V41" s="7">
        <v>7.0</v>
      </c>
      <c r="W41" s="10">
        <v>4.0</v>
      </c>
      <c r="X41" s="15">
        <f t="shared" si="2"/>
        <v>0.1</v>
      </c>
      <c r="Y41" s="15">
        <f t="shared" si="3"/>
        <v>0.85</v>
      </c>
      <c r="Z41" s="15"/>
    </row>
    <row r="42">
      <c r="A42" s="31">
        <v>45874.0</v>
      </c>
      <c r="B42" s="10">
        <v>33.0</v>
      </c>
      <c r="C42" s="10">
        <v>67.0</v>
      </c>
      <c r="D42" s="10">
        <v>18.0</v>
      </c>
      <c r="E42" s="10">
        <v>10.0</v>
      </c>
      <c r="F42" s="10">
        <v>18.0</v>
      </c>
      <c r="G42" s="10">
        <v>9.0</v>
      </c>
      <c r="H42" s="11">
        <f t="shared" si="1"/>
        <v>9</v>
      </c>
      <c r="I42" s="10">
        <v>66.0</v>
      </c>
      <c r="J42" s="10">
        <v>33.0</v>
      </c>
      <c r="K42" s="10">
        <v>4.69</v>
      </c>
      <c r="L42" s="12">
        <v>0.41</v>
      </c>
      <c r="M42" s="10">
        <v>34.0</v>
      </c>
      <c r="N42" s="10">
        <v>2.0</v>
      </c>
      <c r="O42" s="10">
        <v>90.0</v>
      </c>
      <c r="P42" s="10">
        <v>5.0</v>
      </c>
      <c r="Q42" s="10">
        <v>40.0</v>
      </c>
      <c r="R42" s="10">
        <v>20.0</v>
      </c>
      <c r="S42" s="10">
        <v>27.0</v>
      </c>
      <c r="T42" s="10">
        <v>60.0</v>
      </c>
      <c r="U42" s="10">
        <v>40.0</v>
      </c>
      <c r="V42" s="7">
        <v>6.0</v>
      </c>
      <c r="W42" s="10">
        <v>4.0</v>
      </c>
      <c r="X42" s="15">
        <f t="shared" si="2"/>
        <v>0</v>
      </c>
      <c r="Y42" s="15">
        <f t="shared" si="3"/>
        <v>0.85</v>
      </c>
      <c r="Z42" s="15"/>
    </row>
    <row r="43">
      <c r="A43" s="31">
        <v>45875.0</v>
      </c>
      <c r="B43" s="10">
        <v>69.0</v>
      </c>
      <c r="C43" s="10">
        <v>30.0</v>
      </c>
      <c r="D43" s="10">
        <v>14.0</v>
      </c>
      <c r="E43" s="10">
        <v>9.0</v>
      </c>
      <c r="F43" s="10">
        <v>17.0</v>
      </c>
      <c r="G43" s="10">
        <v>6.0</v>
      </c>
      <c r="H43" s="11">
        <f t="shared" si="1"/>
        <v>11</v>
      </c>
      <c r="I43" s="10">
        <v>67.0</v>
      </c>
      <c r="J43" s="10">
        <v>31.0</v>
      </c>
      <c r="K43" s="10">
        <v>5.5</v>
      </c>
      <c r="L43" s="12">
        <v>0.6</v>
      </c>
      <c r="M43" s="10">
        <v>38.0</v>
      </c>
      <c r="N43" s="10">
        <v>2.0</v>
      </c>
      <c r="O43" s="10">
        <v>90.0</v>
      </c>
      <c r="P43" s="10">
        <v>5.0</v>
      </c>
      <c r="Q43" s="10">
        <v>40.0</v>
      </c>
      <c r="R43" s="10">
        <v>20.0</v>
      </c>
      <c r="S43" s="10">
        <v>22.0</v>
      </c>
      <c r="T43" s="10">
        <v>60.0</v>
      </c>
      <c r="U43" s="10">
        <v>40.0</v>
      </c>
      <c r="V43" s="7">
        <v>7.0</v>
      </c>
      <c r="W43" s="10">
        <v>4.0</v>
      </c>
      <c r="X43" s="15">
        <f t="shared" si="2"/>
        <v>0</v>
      </c>
      <c r="Y43" s="15">
        <f t="shared" si="3"/>
        <v>0.85</v>
      </c>
      <c r="Z43" s="15"/>
    </row>
    <row r="44">
      <c r="A44" s="31">
        <v>45876.0</v>
      </c>
      <c r="B44" s="10">
        <v>67.0</v>
      </c>
      <c r="C44" s="10">
        <v>32.0</v>
      </c>
      <c r="D44" s="10">
        <v>9.0</v>
      </c>
      <c r="E44" s="10">
        <v>12.0</v>
      </c>
      <c r="F44" s="10">
        <v>21.0</v>
      </c>
      <c r="G44" s="10">
        <v>4.0</v>
      </c>
      <c r="H44" s="11">
        <f t="shared" si="1"/>
        <v>17</v>
      </c>
      <c r="I44" s="10">
        <v>70.0</v>
      </c>
      <c r="J44" s="10">
        <v>28.0</v>
      </c>
      <c r="K44" s="10">
        <v>6.0</v>
      </c>
      <c r="L44" s="12">
        <v>0.2</v>
      </c>
      <c r="M44" s="10">
        <v>38.0</v>
      </c>
      <c r="N44" s="10">
        <v>1.4</v>
      </c>
      <c r="O44" s="10">
        <v>90.0</v>
      </c>
      <c r="P44" s="10">
        <v>5.0</v>
      </c>
      <c r="Q44" s="10">
        <v>40.0</v>
      </c>
      <c r="R44" s="10">
        <v>20.0</v>
      </c>
      <c r="S44" s="10">
        <v>21.0</v>
      </c>
      <c r="T44" s="10">
        <v>60.0</v>
      </c>
      <c r="U44" s="10">
        <v>40.0</v>
      </c>
      <c r="V44" s="7">
        <v>9.0</v>
      </c>
      <c r="W44" s="10">
        <v>4.0</v>
      </c>
      <c r="X44" s="15">
        <f t="shared" si="2"/>
        <v>0</v>
      </c>
      <c r="Y44" s="15">
        <f t="shared" si="3"/>
        <v>0.85</v>
      </c>
      <c r="Z44" s="15"/>
    </row>
    <row r="45">
      <c r="A45" s="31">
        <v>45880.0</v>
      </c>
      <c r="B45" s="10">
        <v>72.0</v>
      </c>
      <c r="C45" s="10">
        <v>28.0</v>
      </c>
      <c r="D45" s="10">
        <v>22.0</v>
      </c>
      <c r="E45" s="10">
        <v>12.0</v>
      </c>
      <c r="F45" s="10">
        <v>21.0</v>
      </c>
      <c r="G45" s="10">
        <v>4.0</v>
      </c>
      <c r="H45" s="11">
        <f t="shared" si="1"/>
        <v>17</v>
      </c>
      <c r="I45" s="10">
        <v>73.0</v>
      </c>
      <c r="J45" s="10">
        <v>25.0</v>
      </c>
      <c r="K45" s="10">
        <v>7.0</v>
      </c>
      <c r="L45" s="12">
        <v>1.0</v>
      </c>
      <c r="M45" s="10">
        <v>37.0</v>
      </c>
      <c r="N45" s="10">
        <v>4.6</v>
      </c>
      <c r="O45" s="10">
        <v>90.0</v>
      </c>
      <c r="P45" s="10">
        <v>5.0</v>
      </c>
      <c r="Q45" s="10">
        <v>40.0</v>
      </c>
      <c r="R45" s="10">
        <v>20.0</v>
      </c>
      <c r="S45" s="10">
        <v>20.0</v>
      </c>
      <c r="T45" s="10">
        <v>60.0</v>
      </c>
      <c r="U45" s="10">
        <v>40.0</v>
      </c>
      <c r="V45" s="7">
        <v>7.0</v>
      </c>
      <c r="W45" s="10">
        <v>4.0</v>
      </c>
      <c r="X45" s="15">
        <f t="shared" si="2"/>
        <v>0.1</v>
      </c>
      <c r="Y45" s="15">
        <f t="shared" si="3"/>
        <v>0.85</v>
      </c>
      <c r="Z45" s="15"/>
    </row>
    <row r="46">
      <c r="A46" s="31">
        <v>45881.0</v>
      </c>
      <c r="B46" s="10">
        <v>80.0</v>
      </c>
      <c r="C46" s="10">
        <v>20.0</v>
      </c>
      <c r="D46" s="10">
        <v>24.0</v>
      </c>
      <c r="E46" s="10">
        <v>10.0</v>
      </c>
      <c r="F46" s="10">
        <v>21.0</v>
      </c>
      <c r="G46" s="10">
        <v>4.0</v>
      </c>
      <c r="H46" s="11">
        <f t="shared" si="1"/>
        <v>17</v>
      </c>
      <c r="I46" s="10">
        <v>72.0</v>
      </c>
      <c r="J46" s="10">
        <v>27.0</v>
      </c>
      <c r="K46" s="10">
        <v>5.0</v>
      </c>
      <c r="L46" s="12">
        <v>0.41</v>
      </c>
      <c r="M46" s="10">
        <v>29.0</v>
      </c>
      <c r="N46" s="10">
        <v>2.0</v>
      </c>
      <c r="O46" s="10">
        <v>90.0</v>
      </c>
      <c r="P46" s="14">
        <v>5.0</v>
      </c>
      <c r="Q46" s="10">
        <v>40.0</v>
      </c>
      <c r="R46" s="10">
        <v>20.0</v>
      </c>
      <c r="S46" s="10">
        <v>22.0</v>
      </c>
      <c r="T46" s="10">
        <v>60.0</v>
      </c>
      <c r="U46" s="10">
        <v>40.0</v>
      </c>
      <c r="V46" s="7">
        <v>6.0</v>
      </c>
      <c r="W46" s="10">
        <v>4.0</v>
      </c>
      <c r="X46" s="15">
        <f t="shared" si="2"/>
        <v>0</v>
      </c>
      <c r="Y46" s="15">
        <f t="shared" si="3"/>
        <v>1</v>
      </c>
      <c r="Z46" s="15"/>
    </row>
    <row r="47">
      <c r="A47" s="31">
        <v>45887.0</v>
      </c>
      <c r="B47" s="10">
        <v>71.0</v>
      </c>
      <c r="C47" s="10">
        <v>29.0</v>
      </c>
      <c r="D47" s="10">
        <v>14.0</v>
      </c>
      <c r="E47" s="10">
        <v>17.0</v>
      </c>
      <c r="F47" s="10">
        <v>17.5</v>
      </c>
      <c r="G47" s="10">
        <v>8.0</v>
      </c>
      <c r="H47" s="11">
        <f t="shared" si="1"/>
        <v>9.5</v>
      </c>
      <c r="I47" s="10">
        <v>66.0</v>
      </c>
      <c r="J47" s="10">
        <v>33.0</v>
      </c>
      <c r="K47" s="10">
        <v>7.0</v>
      </c>
      <c r="L47" s="12">
        <v>1.4</v>
      </c>
      <c r="M47" s="10">
        <v>40.0</v>
      </c>
      <c r="N47" s="10">
        <v>5.3</v>
      </c>
      <c r="O47" s="10">
        <v>90.0</v>
      </c>
      <c r="P47" s="14">
        <v>5.0</v>
      </c>
      <c r="Q47" s="10">
        <v>40.0</v>
      </c>
      <c r="R47" s="10">
        <v>20.0</v>
      </c>
      <c r="S47" s="10">
        <v>35.0</v>
      </c>
      <c r="T47" s="10">
        <v>60.0</v>
      </c>
      <c r="U47" s="10">
        <v>40.0</v>
      </c>
      <c r="V47" s="7">
        <v>7.0</v>
      </c>
      <c r="W47" s="10">
        <v>4.0</v>
      </c>
      <c r="X47" s="15">
        <f t="shared" si="2"/>
        <v>0.1</v>
      </c>
      <c r="Y47" s="15">
        <f t="shared" si="3"/>
        <v>0.85</v>
      </c>
      <c r="Z47" s="15"/>
    </row>
    <row r="48">
      <c r="A48" s="31">
        <v>45888.0</v>
      </c>
      <c r="B48" s="10">
        <v>64.0</v>
      </c>
      <c r="C48" s="10">
        <v>36.0</v>
      </c>
      <c r="D48" s="10">
        <v>10.0</v>
      </c>
      <c r="E48" s="10">
        <v>19.0</v>
      </c>
      <c r="F48" s="10">
        <v>15.0</v>
      </c>
      <c r="G48" s="10">
        <v>13.0</v>
      </c>
      <c r="H48" s="11">
        <f t="shared" si="1"/>
        <v>2</v>
      </c>
      <c r="I48" s="10">
        <v>65.0</v>
      </c>
      <c r="J48" s="10">
        <v>34.0</v>
      </c>
      <c r="K48" s="10">
        <v>4.0</v>
      </c>
      <c r="L48" s="12">
        <v>2.0</v>
      </c>
      <c r="M48" s="10">
        <v>37.0</v>
      </c>
      <c r="N48" s="10">
        <v>4.5</v>
      </c>
      <c r="O48" s="10">
        <v>90.0</v>
      </c>
      <c r="P48" s="14">
        <v>5.0</v>
      </c>
      <c r="Q48" s="10">
        <v>40.0</v>
      </c>
      <c r="R48" s="10">
        <v>20.0</v>
      </c>
      <c r="S48" s="10">
        <v>43.0</v>
      </c>
      <c r="T48" s="10">
        <v>60.0</v>
      </c>
      <c r="U48" s="10">
        <v>40.0</v>
      </c>
      <c r="V48" s="7">
        <v>4.0</v>
      </c>
      <c r="W48" s="10">
        <v>4.0</v>
      </c>
      <c r="X48" s="15">
        <f t="shared" si="2"/>
        <v>0.1</v>
      </c>
      <c r="Y48" s="15">
        <f t="shared" si="3"/>
        <v>0.55</v>
      </c>
      <c r="Z48" s="15"/>
    </row>
    <row r="49">
      <c r="A49" s="31">
        <v>45889.0</v>
      </c>
      <c r="B49" s="10">
        <v>61.0</v>
      </c>
      <c r="C49" s="10">
        <v>39.0</v>
      </c>
      <c r="D49" s="10">
        <v>9.0</v>
      </c>
      <c r="E49" s="10">
        <v>28.0</v>
      </c>
      <c r="F49" s="10">
        <v>14.5</v>
      </c>
      <c r="G49" s="10">
        <v>14.0</v>
      </c>
      <c r="H49" s="11">
        <f t="shared" si="1"/>
        <v>0.5</v>
      </c>
      <c r="I49" s="10">
        <v>61.0</v>
      </c>
      <c r="J49" s="10">
        <v>37.0</v>
      </c>
      <c r="K49" s="10">
        <v>4.0</v>
      </c>
      <c r="L49" s="12">
        <v>3.0</v>
      </c>
      <c r="M49" s="10">
        <v>31.0</v>
      </c>
      <c r="N49" s="10">
        <v>7.0</v>
      </c>
      <c r="O49" s="10">
        <v>90.0</v>
      </c>
      <c r="P49" s="10">
        <v>5.0</v>
      </c>
      <c r="Q49" s="10">
        <v>40.0</v>
      </c>
      <c r="R49" s="10">
        <v>20.0</v>
      </c>
      <c r="S49" s="10">
        <v>43.0</v>
      </c>
      <c r="T49" s="10">
        <v>60.0</v>
      </c>
      <c r="U49" s="10">
        <v>40.0</v>
      </c>
      <c r="V49" s="7">
        <v>2.0</v>
      </c>
      <c r="W49" s="10">
        <v>4.0</v>
      </c>
      <c r="X49" s="15">
        <f t="shared" si="2"/>
        <v>0.25</v>
      </c>
      <c r="Y49" s="15">
        <f t="shared" si="3"/>
        <v>0.15</v>
      </c>
      <c r="Z49" s="15"/>
    </row>
    <row r="50">
      <c r="A50" s="31">
        <v>45890.0</v>
      </c>
      <c r="B50" s="10">
        <v>48.0</v>
      </c>
      <c r="C50" s="10">
        <v>52.0</v>
      </c>
      <c r="D50" s="10">
        <v>11.0</v>
      </c>
      <c r="E50" s="10">
        <v>33.0</v>
      </c>
      <c r="F50" s="10">
        <v>13.0</v>
      </c>
      <c r="G50" s="10">
        <v>15.0</v>
      </c>
      <c r="H50" s="11">
        <f t="shared" si="1"/>
        <v>-2</v>
      </c>
      <c r="I50" s="10">
        <v>62.0</v>
      </c>
      <c r="J50" s="10">
        <v>36.0</v>
      </c>
      <c r="K50" s="10">
        <v>2.24</v>
      </c>
      <c r="L50" s="12">
        <v>2.0</v>
      </c>
      <c r="M50" s="10">
        <v>29.0</v>
      </c>
      <c r="N50" s="10">
        <v>3.9</v>
      </c>
      <c r="O50" s="10">
        <v>90.0</v>
      </c>
      <c r="P50" s="10">
        <v>5.0</v>
      </c>
      <c r="Q50" s="10">
        <v>40.0</v>
      </c>
      <c r="R50" s="10">
        <v>20.0</v>
      </c>
      <c r="S50" s="10">
        <v>46.0</v>
      </c>
      <c r="T50" s="10">
        <v>60.0</v>
      </c>
      <c r="U50" s="10">
        <v>40.0</v>
      </c>
      <c r="V50" s="7">
        <v>1.0</v>
      </c>
      <c r="W50" s="10">
        <v>4.0</v>
      </c>
      <c r="X50" s="15">
        <f t="shared" si="2"/>
        <v>0.15</v>
      </c>
      <c r="Y50" s="15">
        <f t="shared" si="3"/>
        <v>0.15</v>
      </c>
      <c r="Z50" s="15"/>
    </row>
    <row r="51">
      <c r="A51" s="31">
        <v>45895.0</v>
      </c>
      <c r="B51" s="10">
        <v>28.0</v>
      </c>
      <c r="C51" s="10">
        <v>72.0</v>
      </c>
      <c r="D51" s="10">
        <v>12.0</v>
      </c>
      <c r="E51" s="10">
        <v>11.0</v>
      </c>
      <c r="F51" s="10">
        <v>15.0</v>
      </c>
      <c r="G51" s="34">
        <v>9.0</v>
      </c>
      <c r="H51" s="11">
        <f>F51-J49</f>
        <v>-22</v>
      </c>
      <c r="I51" s="10">
        <v>65.0</v>
      </c>
      <c r="J51" s="10">
        <v>34.0</v>
      </c>
      <c r="K51" s="10">
        <v>4.0</v>
      </c>
      <c r="L51" s="12">
        <v>0.4</v>
      </c>
      <c r="M51" s="10">
        <v>25.0</v>
      </c>
      <c r="N51" s="10">
        <v>6.0</v>
      </c>
      <c r="O51" s="10">
        <v>90.0</v>
      </c>
      <c r="P51" s="10">
        <v>5.0</v>
      </c>
      <c r="Q51" s="10">
        <v>40.0</v>
      </c>
      <c r="R51" s="10">
        <v>20.0</v>
      </c>
      <c r="S51" s="10">
        <v>27.0</v>
      </c>
      <c r="T51" s="10">
        <v>60.0</v>
      </c>
      <c r="U51" s="10">
        <v>40.0</v>
      </c>
      <c r="V51" s="7">
        <v>2.0</v>
      </c>
      <c r="W51" s="10">
        <v>4.0</v>
      </c>
      <c r="X51" s="15">
        <f t="shared" si="2"/>
        <v>0.1</v>
      </c>
      <c r="Y51" s="15">
        <f t="shared" si="3"/>
        <v>0.3</v>
      </c>
      <c r="Z51" s="15"/>
    </row>
    <row r="52">
      <c r="A52" s="31">
        <v>45897.0</v>
      </c>
      <c r="B52" s="10">
        <v>28.0</v>
      </c>
      <c r="C52" s="10">
        <v>71.0</v>
      </c>
      <c r="D52" s="10">
        <v>6.0</v>
      </c>
      <c r="E52" s="10">
        <v>7.0</v>
      </c>
      <c r="F52" s="10">
        <v>22.0</v>
      </c>
      <c r="G52" s="10">
        <v>8.0</v>
      </c>
      <c r="H52" s="11">
        <f t="shared" ref="H52:H145" si="4">F52-G52</f>
        <v>14</v>
      </c>
      <c r="I52" s="10">
        <v>68.0</v>
      </c>
      <c r="J52" s="10">
        <v>31.0</v>
      </c>
      <c r="K52" s="10">
        <v>7.0</v>
      </c>
      <c r="L52" s="12">
        <v>0.6</v>
      </c>
      <c r="M52" s="10">
        <v>35.0</v>
      </c>
      <c r="N52" s="10">
        <v>3.0</v>
      </c>
      <c r="O52" s="10">
        <v>90.0</v>
      </c>
      <c r="P52" s="10">
        <v>5.0</v>
      </c>
      <c r="Q52" s="10">
        <v>40.0</v>
      </c>
      <c r="R52" s="10">
        <v>20.0</v>
      </c>
      <c r="S52" s="10">
        <v>21.0</v>
      </c>
      <c r="T52" s="10">
        <v>60.0</v>
      </c>
      <c r="U52" s="10">
        <v>40.0</v>
      </c>
      <c r="V52" s="7">
        <v>3.0</v>
      </c>
      <c r="W52" s="10">
        <v>4.0</v>
      </c>
      <c r="X52" s="15">
        <f t="shared" si="2"/>
        <v>0</v>
      </c>
      <c r="Y52" s="15">
        <f t="shared" si="3"/>
        <v>0.45</v>
      </c>
      <c r="Z52" s="15"/>
    </row>
    <row r="53">
      <c r="A53" s="31">
        <v>45898.0</v>
      </c>
      <c r="B53" s="10">
        <v>35.0</v>
      </c>
      <c r="C53" s="10">
        <v>65.0</v>
      </c>
      <c r="D53" s="10">
        <v>13.0</v>
      </c>
      <c r="E53" s="10">
        <v>9.0</v>
      </c>
      <c r="F53" s="10">
        <v>21.5</v>
      </c>
      <c r="G53" s="10">
        <v>7.5</v>
      </c>
      <c r="H53" s="11">
        <f t="shared" si="4"/>
        <v>14</v>
      </c>
      <c r="I53" s="10">
        <v>71.0</v>
      </c>
      <c r="J53" s="10">
        <v>28.0</v>
      </c>
      <c r="K53" s="10">
        <v>5.92</v>
      </c>
      <c r="L53" s="12">
        <v>0.2</v>
      </c>
      <c r="M53" s="10">
        <v>34.29</v>
      </c>
      <c r="N53" s="10">
        <v>2.86</v>
      </c>
      <c r="O53" s="10">
        <v>90.0</v>
      </c>
      <c r="P53" s="10">
        <v>5.0</v>
      </c>
      <c r="Q53" s="10">
        <v>40.0</v>
      </c>
      <c r="R53" s="10">
        <v>20.0</v>
      </c>
      <c r="S53" s="10">
        <v>22.0</v>
      </c>
      <c r="T53" s="10">
        <v>60.0</v>
      </c>
      <c r="U53" s="10">
        <v>40.0</v>
      </c>
      <c r="V53" s="7">
        <v>5.0</v>
      </c>
      <c r="W53" s="10">
        <v>4.0</v>
      </c>
      <c r="X53" s="15">
        <f t="shared" si="2"/>
        <v>0</v>
      </c>
      <c r="Y53" s="15">
        <f t="shared" si="3"/>
        <v>0.85</v>
      </c>
      <c r="Z53" s="15"/>
    </row>
    <row r="54">
      <c r="A54" s="31">
        <v>45901.0</v>
      </c>
      <c r="B54" s="10">
        <v>68.0</v>
      </c>
      <c r="C54" s="10">
        <v>32.0</v>
      </c>
      <c r="D54" s="10">
        <v>23.0</v>
      </c>
      <c r="E54" s="10">
        <v>16.0</v>
      </c>
      <c r="F54" s="10">
        <v>18.0</v>
      </c>
      <c r="G54" s="10">
        <v>8.0</v>
      </c>
      <c r="H54" s="11">
        <f t="shared" si="4"/>
        <v>10</v>
      </c>
      <c r="I54" s="10">
        <v>70.0</v>
      </c>
      <c r="J54" s="10">
        <v>29.0</v>
      </c>
      <c r="K54" s="10">
        <v>2.45</v>
      </c>
      <c r="L54" s="12">
        <v>1.0</v>
      </c>
      <c r="M54" s="10">
        <v>26.0</v>
      </c>
      <c r="N54" s="10">
        <v>4.0</v>
      </c>
      <c r="O54" s="10">
        <v>90.0</v>
      </c>
      <c r="P54" s="10">
        <v>5.0</v>
      </c>
      <c r="Q54" s="10">
        <v>40.0</v>
      </c>
      <c r="R54" s="10">
        <v>20.0</v>
      </c>
      <c r="S54" s="10">
        <v>33.0</v>
      </c>
      <c r="T54" s="10">
        <v>60.0</v>
      </c>
      <c r="U54" s="10">
        <v>40.0</v>
      </c>
      <c r="V54" s="7">
        <v>5.0</v>
      </c>
      <c r="W54" s="10">
        <v>4.0</v>
      </c>
      <c r="X54" s="15">
        <f t="shared" si="2"/>
        <v>0</v>
      </c>
      <c r="Y54" s="15">
        <f t="shared" si="3"/>
        <v>0.85</v>
      </c>
      <c r="Z54" s="15"/>
    </row>
    <row r="55">
      <c r="A55" s="31">
        <v>45902.0</v>
      </c>
      <c r="B55" s="10">
        <v>77.0</v>
      </c>
      <c r="C55" s="10">
        <v>23.0</v>
      </c>
      <c r="D55" s="10">
        <v>17.0</v>
      </c>
      <c r="E55" s="10">
        <v>13.0</v>
      </c>
      <c r="F55" s="10">
        <v>14.0</v>
      </c>
      <c r="G55" s="10">
        <v>13.0</v>
      </c>
      <c r="H55" s="11">
        <f t="shared" si="4"/>
        <v>1</v>
      </c>
      <c r="I55" s="10">
        <v>66.0</v>
      </c>
      <c r="J55" s="10">
        <v>32.0</v>
      </c>
      <c r="K55" s="10">
        <v>1.6</v>
      </c>
      <c r="L55" s="12">
        <v>1.2</v>
      </c>
      <c r="M55" s="10">
        <v>24.0</v>
      </c>
      <c r="N55" s="10">
        <v>2.0</v>
      </c>
      <c r="O55" s="10">
        <v>90.0</v>
      </c>
      <c r="P55" s="10">
        <v>5.0</v>
      </c>
      <c r="Q55" s="10">
        <v>40.0</v>
      </c>
      <c r="R55" s="10">
        <v>20.0</v>
      </c>
      <c r="S55" s="10">
        <v>37.0</v>
      </c>
      <c r="T55" s="10">
        <v>60.0</v>
      </c>
      <c r="U55" s="10">
        <v>40.0</v>
      </c>
      <c r="V55" s="7">
        <v>3.0</v>
      </c>
      <c r="W55" s="10">
        <v>4.0</v>
      </c>
      <c r="X55" s="15">
        <f t="shared" si="2"/>
        <v>0</v>
      </c>
      <c r="Y55" s="15">
        <f t="shared" si="3"/>
        <v>0.3</v>
      </c>
      <c r="Z55" s="15"/>
    </row>
    <row r="56">
      <c r="A56" s="31">
        <v>45903.0</v>
      </c>
      <c r="B56" s="10">
        <v>76.0</v>
      </c>
      <c r="C56" s="10">
        <v>24.0</v>
      </c>
      <c r="D56" s="10">
        <v>14.0</v>
      </c>
      <c r="E56" s="10">
        <v>24.0</v>
      </c>
      <c r="F56" s="10">
        <v>12.0</v>
      </c>
      <c r="G56" s="10">
        <v>14.0</v>
      </c>
      <c r="H56" s="11">
        <f t="shared" si="4"/>
        <v>-2</v>
      </c>
      <c r="I56" s="10">
        <v>65.0</v>
      </c>
      <c r="J56" s="10">
        <v>34.0</v>
      </c>
      <c r="K56" s="10">
        <v>1.63</v>
      </c>
      <c r="L56" s="12">
        <v>2.4</v>
      </c>
      <c r="M56" s="10">
        <v>30.0</v>
      </c>
      <c r="N56" s="10">
        <v>5.0</v>
      </c>
      <c r="O56" s="10">
        <v>90.0</v>
      </c>
      <c r="P56" s="10">
        <v>5.0</v>
      </c>
      <c r="Q56" s="10">
        <v>40.0</v>
      </c>
      <c r="R56" s="10">
        <v>20.0</v>
      </c>
      <c r="S56" s="10">
        <v>43.0</v>
      </c>
      <c r="T56" s="10">
        <v>60.0</v>
      </c>
      <c r="U56" s="10">
        <v>40.0</v>
      </c>
      <c r="V56" s="7">
        <v>1.0</v>
      </c>
      <c r="W56" s="10">
        <v>4.0</v>
      </c>
      <c r="X56" s="15">
        <f t="shared" si="2"/>
        <v>0.1</v>
      </c>
      <c r="Y56" s="15">
        <f t="shared" si="3"/>
        <v>0.15</v>
      </c>
      <c r="Z56" s="15"/>
    </row>
    <row r="57">
      <c r="A57" s="31">
        <v>45904.0</v>
      </c>
      <c r="B57" s="10">
        <v>63.0</v>
      </c>
      <c r="C57" s="10">
        <v>37.0</v>
      </c>
      <c r="D57" s="10">
        <v>19.0</v>
      </c>
      <c r="E57" s="10">
        <v>17.0</v>
      </c>
      <c r="F57" s="10">
        <v>11.0</v>
      </c>
      <c r="G57" s="10">
        <v>13.0</v>
      </c>
      <c r="H57" s="11">
        <f t="shared" si="4"/>
        <v>-2</v>
      </c>
      <c r="I57" s="10">
        <v>64.0</v>
      </c>
      <c r="J57" s="10">
        <v>36.0</v>
      </c>
      <c r="K57" s="10">
        <v>1.22</v>
      </c>
      <c r="L57" s="12">
        <v>3.7</v>
      </c>
      <c r="M57" s="10">
        <v>23.0</v>
      </c>
      <c r="N57" s="10">
        <v>7.0</v>
      </c>
      <c r="O57" s="10">
        <v>90.0</v>
      </c>
      <c r="P57" s="10">
        <v>5.0</v>
      </c>
      <c r="Q57" s="10">
        <v>40.0</v>
      </c>
      <c r="R57" s="10">
        <v>20.0</v>
      </c>
      <c r="S57" s="10">
        <v>37.0</v>
      </c>
      <c r="T57" s="10">
        <v>60.0</v>
      </c>
      <c r="U57" s="10">
        <v>40.0</v>
      </c>
      <c r="V57" s="7">
        <v>2.0</v>
      </c>
      <c r="W57" s="10">
        <v>4.0</v>
      </c>
      <c r="X57" s="15">
        <f t="shared" si="2"/>
        <v>0.1</v>
      </c>
      <c r="Y57" s="15">
        <f t="shared" si="3"/>
        <v>0.3</v>
      </c>
      <c r="Z57" s="15"/>
    </row>
    <row r="58">
      <c r="A58" s="31">
        <v>45905.0</v>
      </c>
      <c r="B58" s="10">
        <v>42.0</v>
      </c>
      <c r="C58" s="10">
        <v>58.0</v>
      </c>
      <c r="D58" s="10">
        <v>14.0</v>
      </c>
      <c r="E58" s="10">
        <v>22.0</v>
      </c>
      <c r="F58" s="10">
        <v>12.0</v>
      </c>
      <c r="G58" s="10">
        <v>12.0</v>
      </c>
      <c r="H58" s="11">
        <f t="shared" si="4"/>
        <v>0</v>
      </c>
      <c r="I58" s="10">
        <v>64.0</v>
      </c>
      <c r="J58" s="10">
        <v>35.0</v>
      </c>
      <c r="K58" s="10">
        <v>1.43</v>
      </c>
      <c r="L58" s="12">
        <v>1.22</v>
      </c>
      <c r="M58" s="10">
        <v>23.0</v>
      </c>
      <c r="N58" s="10">
        <v>5.0</v>
      </c>
      <c r="O58" s="10">
        <v>90.0</v>
      </c>
      <c r="P58" s="10">
        <v>5.0</v>
      </c>
      <c r="Q58" s="10">
        <v>40.0</v>
      </c>
      <c r="R58" s="10">
        <v>20.0</v>
      </c>
      <c r="S58" s="10">
        <v>38.0</v>
      </c>
      <c r="T58" s="10">
        <v>60.0</v>
      </c>
      <c r="U58" s="10">
        <v>40.0</v>
      </c>
      <c r="V58" s="7">
        <v>1.0</v>
      </c>
      <c r="W58" s="10">
        <v>4.0</v>
      </c>
      <c r="X58" s="15">
        <f t="shared" si="2"/>
        <v>0.1</v>
      </c>
      <c r="Y58" s="15">
        <f t="shared" si="3"/>
        <v>0.3</v>
      </c>
      <c r="Z58" s="15"/>
    </row>
    <row r="59">
      <c r="A59" s="31">
        <v>45908.0</v>
      </c>
      <c r="B59" s="10">
        <v>36.0</v>
      </c>
      <c r="C59" s="10">
        <v>64.0</v>
      </c>
      <c r="D59" s="10">
        <v>13.0</v>
      </c>
      <c r="E59" s="10">
        <v>24.0</v>
      </c>
      <c r="F59" s="10">
        <v>8.0</v>
      </c>
      <c r="G59" s="10">
        <v>12.0</v>
      </c>
      <c r="H59" s="11">
        <f t="shared" si="4"/>
        <v>-4</v>
      </c>
      <c r="I59" s="10">
        <v>60.0</v>
      </c>
      <c r="J59" s="10">
        <v>40.0</v>
      </c>
      <c r="K59" s="10">
        <v>1.22</v>
      </c>
      <c r="L59" s="12">
        <v>3.0</v>
      </c>
      <c r="M59" s="10">
        <v>25.0</v>
      </c>
      <c r="N59" s="10">
        <v>6.0</v>
      </c>
      <c r="O59" s="10">
        <v>90.0</v>
      </c>
      <c r="P59" s="10">
        <v>5.0</v>
      </c>
      <c r="Q59" s="10">
        <v>40.0</v>
      </c>
      <c r="R59" s="10">
        <v>20.0</v>
      </c>
      <c r="S59" s="10">
        <v>41.0</v>
      </c>
      <c r="T59" s="10">
        <v>60.0</v>
      </c>
      <c r="U59" s="10">
        <v>40.0</v>
      </c>
      <c r="V59" s="7">
        <v>0.0</v>
      </c>
      <c r="W59" s="10">
        <v>4.0</v>
      </c>
      <c r="X59" s="15">
        <f t="shared" si="2"/>
        <v>0.1</v>
      </c>
      <c r="Y59" s="15">
        <f t="shared" si="3"/>
        <v>0.15</v>
      </c>
      <c r="Z59" s="15"/>
    </row>
    <row r="60">
      <c r="A60" s="33">
        <v>45909.0</v>
      </c>
      <c r="B60" s="10">
        <v>37.0</v>
      </c>
      <c r="C60" s="10">
        <v>63.0</v>
      </c>
      <c r="D60" s="10">
        <v>22.0</v>
      </c>
      <c r="E60" s="10">
        <v>27.0</v>
      </c>
      <c r="F60" s="10">
        <v>7.0</v>
      </c>
      <c r="G60" s="10">
        <v>13.0</v>
      </c>
      <c r="H60" s="11">
        <f t="shared" si="4"/>
        <v>-6</v>
      </c>
      <c r="I60" s="10">
        <v>58.0</v>
      </c>
      <c r="J60" s="10">
        <v>41.0</v>
      </c>
      <c r="K60" s="10">
        <v>2.0</v>
      </c>
      <c r="L60" s="12">
        <v>4.0</v>
      </c>
      <c r="M60" s="10">
        <v>27.0</v>
      </c>
      <c r="N60" s="10">
        <v>8.0</v>
      </c>
      <c r="O60" s="10">
        <v>90.0</v>
      </c>
      <c r="P60" s="10">
        <v>5.0</v>
      </c>
      <c r="Q60" s="10">
        <v>40.0</v>
      </c>
      <c r="R60" s="10">
        <v>20.0</v>
      </c>
      <c r="S60" s="10">
        <v>41.0</v>
      </c>
      <c r="T60" s="10">
        <v>60.0</v>
      </c>
      <c r="U60" s="10">
        <v>40.0</v>
      </c>
      <c r="V60" s="7">
        <v>0.0</v>
      </c>
      <c r="W60" s="10">
        <v>4.0</v>
      </c>
      <c r="X60" s="15">
        <f t="shared" si="2"/>
        <v>0.1</v>
      </c>
      <c r="Y60" s="15">
        <f t="shared" si="3"/>
        <v>0.15</v>
      </c>
      <c r="Z60" s="15"/>
    </row>
    <row r="61">
      <c r="A61" s="31">
        <v>45910.0</v>
      </c>
      <c r="B61" s="10">
        <v>46.0</v>
      </c>
      <c r="C61" s="10">
        <v>54.0</v>
      </c>
      <c r="D61" s="10">
        <v>17.0</v>
      </c>
      <c r="E61" s="10">
        <v>31.0</v>
      </c>
      <c r="F61" s="10">
        <v>6.0</v>
      </c>
      <c r="G61" s="10">
        <v>14.0</v>
      </c>
      <c r="H61" s="11">
        <f t="shared" si="4"/>
        <v>-8</v>
      </c>
      <c r="I61" s="10">
        <v>55.0</v>
      </c>
      <c r="J61" s="10">
        <v>44.0</v>
      </c>
      <c r="K61" s="10">
        <v>1.0</v>
      </c>
      <c r="L61" s="12">
        <v>5.0</v>
      </c>
      <c r="M61" s="10">
        <v>28.0</v>
      </c>
      <c r="N61" s="10">
        <v>13.0</v>
      </c>
      <c r="O61" s="10">
        <v>90.0</v>
      </c>
      <c r="P61" s="10">
        <v>5.0</v>
      </c>
      <c r="Q61" s="10">
        <v>40.0</v>
      </c>
      <c r="R61" s="10">
        <v>20.0</v>
      </c>
      <c r="S61" s="10">
        <v>41.0</v>
      </c>
      <c r="T61" s="10">
        <v>60.0</v>
      </c>
      <c r="U61" s="10">
        <v>40.0</v>
      </c>
      <c r="V61" s="7">
        <v>1.0</v>
      </c>
      <c r="W61" s="10">
        <v>4.0</v>
      </c>
      <c r="X61" s="15">
        <f t="shared" si="2"/>
        <v>0.1</v>
      </c>
      <c r="Y61" s="15">
        <f t="shared" si="3"/>
        <v>0.15</v>
      </c>
      <c r="Z61" s="15"/>
    </row>
    <row r="62">
      <c r="A62" s="31">
        <v>45911.0</v>
      </c>
      <c r="B62" s="10">
        <v>46.0</v>
      </c>
      <c r="C62" s="10">
        <v>54.0</v>
      </c>
      <c r="D62" s="10">
        <v>16.0</v>
      </c>
      <c r="E62" s="10">
        <v>22.0</v>
      </c>
      <c r="F62" s="10">
        <v>6.0</v>
      </c>
      <c r="G62" s="10">
        <v>16.0</v>
      </c>
      <c r="H62" s="11">
        <f t="shared" si="4"/>
        <v>-10</v>
      </c>
      <c r="I62" s="10">
        <v>55.0</v>
      </c>
      <c r="J62" s="10">
        <v>44.0</v>
      </c>
      <c r="K62" s="10">
        <v>1.22</v>
      </c>
      <c r="L62" s="12">
        <v>3.4</v>
      </c>
      <c r="M62" s="10">
        <v>26.0</v>
      </c>
      <c r="N62" s="10">
        <v>9.0</v>
      </c>
      <c r="O62" s="10">
        <v>90.0</v>
      </c>
      <c r="P62" s="10">
        <v>5.0</v>
      </c>
      <c r="Q62" s="10">
        <v>40.0</v>
      </c>
      <c r="R62" s="10">
        <v>20.0</v>
      </c>
      <c r="S62" s="10">
        <v>56.0</v>
      </c>
      <c r="T62" s="10">
        <v>60.0</v>
      </c>
      <c r="U62" s="10">
        <v>40.0</v>
      </c>
      <c r="V62" s="7">
        <v>0.0</v>
      </c>
      <c r="W62" s="10">
        <v>4.0</v>
      </c>
      <c r="X62" s="15">
        <f t="shared" si="2"/>
        <v>0.3</v>
      </c>
      <c r="Y62" s="15">
        <f t="shared" si="3"/>
        <v>0.15</v>
      </c>
      <c r="Z62" s="15"/>
    </row>
    <row r="63">
      <c r="A63" s="31">
        <v>45912.0</v>
      </c>
      <c r="B63" s="10">
        <v>43.0</v>
      </c>
      <c r="C63" s="10">
        <v>57.0</v>
      </c>
      <c r="D63" s="10">
        <v>18.0</v>
      </c>
      <c r="E63" s="10">
        <v>33.0</v>
      </c>
      <c r="F63" s="10">
        <v>4.0</v>
      </c>
      <c r="G63" s="10">
        <v>16.0</v>
      </c>
      <c r="H63" s="11">
        <f t="shared" si="4"/>
        <v>-12</v>
      </c>
      <c r="I63" s="10">
        <v>55.0</v>
      </c>
      <c r="J63" s="10">
        <v>45.0</v>
      </c>
      <c r="K63" s="10">
        <v>1.84</v>
      </c>
      <c r="L63" s="12">
        <v>2.86</v>
      </c>
      <c r="M63" s="10">
        <v>24.0</v>
      </c>
      <c r="N63" s="10">
        <v>9.0</v>
      </c>
      <c r="O63" s="10">
        <v>90.0</v>
      </c>
      <c r="P63" s="10">
        <v>5.0</v>
      </c>
      <c r="Q63" s="10">
        <v>40.0</v>
      </c>
      <c r="R63" s="10">
        <v>20.0</v>
      </c>
      <c r="S63" s="10">
        <v>57.0</v>
      </c>
      <c r="T63" s="10">
        <v>60.0</v>
      </c>
      <c r="U63" s="10">
        <v>40.0</v>
      </c>
      <c r="V63" s="7">
        <v>0.0</v>
      </c>
      <c r="W63" s="10">
        <v>4.0</v>
      </c>
      <c r="X63" s="15">
        <f t="shared" si="2"/>
        <v>0.3</v>
      </c>
      <c r="Y63" s="15">
        <f t="shared" si="3"/>
        <v>0.15</v>
      </c>
      <c r="Z63" s="15"/>
    </row>
    <row r="64">
      <c r="A64" s="31">
        <v>45915.0</v>
      </c>
      <c r="B64" s="10">
        <v>41.0</v>
      </c>
      <c r="C64" s="10">
        <v>59.0</v>
      </c>
      <c r="D64" s="10">
        <v>15.0</v>
      </c>
      <c r="E64" s="10">
        <v>36.0</v>
      </c>
      <c r="F64" s="10">
        <v>3.0</v>
      </c>
      <c r="G64" s="10">
        <v>17.5</v>
      </c>
      <c r="H64" s="11">
        <f t="shared" si="4"/>
        <v>-14.5</v>
      </c>
      <c r="I64" s="10">
        <v>53.0</v>
      </c>
      <c r="J64" s="10">
        <v>45.0</v>
      </c>
      <c r="K64" s="10">
        <v>0.8</v>
      </c>
      <c r="L64" s="12">
        <v>3.0</v>
      </c>
      <c r="M64" s="10">
        <v>23.0</v>
      </c>
      <c r="N64" s="10">
        <v>10.0</v>
      </c>
      <c r="O64" s="10">
        <v>90.0</v>
      </c>
      <c r="P64" s="10">
        <v>5.0</v>
      </c>
      <c r="Q64" s="10">
        <v>40.0</v>
      </c>
      <c r="R64" s="10">
        <v>20.0</v>
      </c>
      <c r="S64" s="16">
        <v>61.0</v>
      </c>
      <c r="T64" s="10">
        <v>60.0</v>
      </c>
      <c r="U64" s="10">
        <v>40.0</v>
      </c>
      <c r="V64" s="7">
        <v>0.0</v>
      </c>
      <c r="W64" s="10">
        <v>4.0</v>
      </c>
      <c r="X64" s="15">
        <f t="shared" si="2"/>
        <v>0.45</v>
      </c>
      <c r="Y64" s="15">
        <f t="shared" si="3"/>
        <v>0.15</v>
      </c>
      <c r="Z64" s="15"/>
    </row>
    <row r="65">
      <c r="A65" s="31">
        <v>45916.0</v>
      </c>
      <c r="B65" s="10">
        <v>42.0</v>
      </c>
      <c r="C65" s="10">
        <v>57.0</v>
      </c>
      <c r="D65" s="10">
        <v>12.0</v>
      </c>
      <c r="E65" s="10">
        <v>41.0</v>
      </c>
      <c r="F65" s="10">
        <v>2.0</v>
      </c>
      <c r="G65" s="10">
        <v>18.0</v>
      </c>
      <c r="H65" s="11">
        <f t="shared" si="4"/>
        <v>-16</v>
      </c>
      <c r="I65" s="10">
        <v>49.0</v>
      </c>
      <c r="J65" s="10">
        <v>49.0</v>
      </c>
      <c r="K65" s="10">
        <v>0.8</v>
      </c>
      <c r="L65" s="12">
        <v>3.88</v>
      </c>
      <c r="M65" s="10">
        <v>24.0</v>
      </c>
      <c r="N65" s="10">
        <v>10.4</v>
      </c>
      <c r="O65" s="10">
        <v>90.0</v>
      </c>
      <c r="P65" s="10">
        <v>5.0</v>
      </c>
      <c r="Q65" s="10">
        <v>40.0</v>
      </c>
      <c r="R65" s="10">
        <v>20.0</v>
      </c>
      <c r="S65" s="16">
        <v>67.76</v>
      </c>
      <c r="T65" s="10">
        <v>60.0</v>
      </c>
      <c r="U65" s="10">
        <v>40.0</v>
      </c>
      <c r="V65" s="7">
        <v>0.0</v>
      </c>
      <c r="W65" s="10">
        <v>4.0</v>
      </c>
      <c r="X65" s="15">
        <f t="shared" si="2"/>
        <v>0.45</v>
      </c>
      <c r="Y65" s="15">
        <f t="shared" si="3"/>
        <v>0</v>
      </c>
      <c r="Z65" s="15"/>
    </row>
    <row r="66">
      <c r="A66" s="31">
        <v>45917.0</v>
      </c>
      <c r="B66" s="10">
        <v>42.0</v>
      </c>
      <c r="C66" s="10">
        <v>58.0</v>
      </c>
      <c r="D66" s="10">
        <v>12.0</v>
      </c>
      <c r="E66" s="10">
        <v>38.0</v>
      </c>
      <c r="F66" s="10">
        <v>2.0</v>
      </c>
      <c r="G66" s="10">
        <v>20.0</v>
      </c>
      <c r="H66" s="11">
        <f t="shared" si="4"/>
        <v>-18</v>
      </c>
      <c r="I66" s="10">
        <v>46.0</v>
      </c>
      <c r="J66" s="10">
        <v>52.0</v>
      </c>
      <c r="K66" s="10">
        <v>0.6</v>
      </c>
      <c r="L66" s="12">
        <v>5.0</v>
      </c>
      <c r="M66" s="10">
        <v>26.0</v>
      </c>
      <c r="N66" s="10">
        <v>13.0</v>
      </c>
      <c r="O66" s="10">
        <v>90.0</v>
      </c>
      <c r="P66" s="10">
        <v>5.0</v>
      </c>
      <c r="Q66" s="10">
        <v>40.0</v>
      </c>
      <c r="R66" s="10">
        <v>20.0</v>
      </c>
      <c r="S66" s="16">
        <v>72.0</v>
      </c>
      <c r="T66" s="10">
        <v>60.0</v>
      </c>
      <c r="U66" s="10">
        <v>40.0</v>
      </c>
      <c r="V66" s="7">
        <v>0.0</v>
      </c>
      <c r="W66" s="10">
        <v>4.0</v>
      </c>
      <c r="X66" s="15">
        <f t="shared" si="2"/>
        <v>1</v>
      </c>
      <c r="Y66" s="15">
        <f t="shared" si="3"/>
        <v>0</v>
      </c>
      <c r="Z66" s="15"/>
    </row>
    <row r="67">
      <c r="A67" s="31">
        <v>45918.0</v>
      </c>
      <c r="B67" s="10">
        <v>39.0</v>
      </c>
      <c r="C67" s="10">
        <v>61.0</v>
      </c>
      <c r="D67" s="10">
        <v>12.0</v>
      </c>
      <c r="E67" s="10">
        <v>41.0</v>
      </c>
      <c r="F67" s="10">
        <v>2.0</v>
      </c>
      <c r="G67" s="10">
        <v>20.0</v>
      </c>
      <c r="H67" s="11">
        <f t="shared" si="4"/>
        <v>-18</v>
      </c>
      <c r="I67" s="10">
        <v>47.0</v>
      </c>
      <c r="J67" s="10">
        <v>52.0</v>
      </c>
      <c r="K67" s="10">
        <v>0.4</v>
      </c>
      <c r="L67" s="12">
        <v>4.4</v>
      </c>
      <c r="M67" s="10">
        <v>23.0</v>
      </c>
      <c r="N67" s="10">
        <v>10.0</v>
      </c>
      <c r="O67" s="10">
        <v>90.0</v>
      </c>
      <c r="P67" s="10">
        <v>5.0</v>
      </c>
      <c r="Q67" s="10">
        <v>40.0</v>
      </c>
      <c r="R67" s="10">
        <v>20.0</v>
      </c>
      <c r="S67" s="16">
        <v>71.0</v>
      </c>
      <c r="T67" s="10">
        <v>60.0</v>
      </c>
      <c r="U67" s="10">
        <v>40.0</v>
      </c>
      <c r="V67" s="7">
        <v>0.0</v>
      </c>
      <c r="W67" s="10">
        <v>4.0</v>
      </c>
      <c r="X67" s="15">
        <f t="shared" si="2"/>
        <v>1</v>
      </c>
      <c r="Y67" s="15">
        <f t="shared" si="3"/>
        <v>0</v>
      </c>
      <c r="Z67" s="15"/>
    </row>
    <row r="68">
      <c r="A68" s="31">
        <v>45919.0</v>
      </c>
      <c r="B68" s="10">
        <v>31.0</v>
      </c>
      <c r="C68" s="10">
        <v>68.0</v>
      </c>
      <c r="D68" s="10">
        <v>10.0</v>
      </c>
      <c r="E68" s="10">
        <v>38.0</v>
      </c>
      <c r="F68" s="10">
        <v>2.0</v>
      </c>
      <c r="G68" s="10">
        <v>19.0</v>
      </c>
      <c r="H68" s="11">
        <f t="shared" si="4"/>
        <v>-17</v>
      </c>
      <c r="I68" s="10">
        <v>46.0</v>
      </c>
      <c r="J68" s="10">
        <v>53.0</v>
      </c>
      <c r="K68" s="10">
        <v>0.8</v>
      </c>
      <c r="L68" s="12">
        <v>4.4</v>
      </c>
      <c r="M68" s="10">
        <v>21.0</v>
      </c>
      <c r="N68" s="10">
        <v>9.0</v>
      </c>
      <c r="O68" s="10">
        <v>90.0</v>
      </c>
      <c r="P68" s="10">
        <v>5.0</v>
      </c>
      <c r="Q68" s="10">
        <v>40.0</v>
      </c>
      <c r="R68" s="10">
        <v>20.0</v>
      </c>
      <c r="S68" s="16">
        <v>70.0</v>
      </c>
      <c r="T68" s="10">
        <v>60.0</v>
      </c>
      <c r="U68" s="10">
        <v>40.0</v>
      </c>
      <c r="V68" s="7">
        <v>0.0</v>
      </c>
      <c r="W68" s="10">
        <v>4.0</v>
      </c>
      <c r="X68" s="15">
        <f t="shared" si="2"/>
        <v>0.6</v>
      </c>
      <c r="Y68" s="15">
        <f t="shared" si="3"/>
        <v>0</v>
      </c>
      <c r="Z68" s="15"/>
    </row>
    <row r="69">
      <c r="A69" s="31">
        <v>45922.0</v>
      </c>
      <c r="B69" s="10">
        <v>29.0</v>
      </c>
      <c r="C69" s="10">
        <v>71.0</v>
      </c>
      <c r="D69" s="10">
        <v>13.0</v>
      </c>
      <c r="E69" s="10">
        <v>30.0</v>
      </c>
      <c r="F69" s="10">
        <v>3.0</v>
      </c>
      <c r="G69" s="10">
        <v>18.0</v>
      </c>
      <c r="H69" s="11">
        <f t="shared" si="4"/>
        <v>-15</v>
      </c>
      <c r="I69" s="10">
        <v>49.0</v>
      </c>
      <c r="J69" s="10">
        <v>50.0</v>
      </c>
      <c r="K69" s="10">
        <v>1.0</v>
      </c>
      <c r="L69" s="12">
        <v>5.0</v>
      </c>
      <c r="M69" s="10">
        <v>22.0</v>
      </c>
      <c r="N69" s="10">
        <v>8.0</v>
      </c>
      <c r="O69" s="10">
        <v>90.0</v>
      </c>
      <c r="P69" s="10">
        <v>5.0</v>
      </c>
      <c r="Q69" s="10">
        <v>40.0</v>
      </c>
      <c r="R69" s="10">
        <v>20.0</v>
      </c>
      <c r="S69" s="10">
        <v>60.0</v>
      </c>
      <c r="T69" s="10">
        <v>60.0</v>
      </c>
      <c r="U69" s="10">
        <v>40.0</v>
      </c>
      <c r="V69" s="7">
        <v>0.0</v>
      </c>
      <c r="W69" s="10">
        <v>4.0</v>
      </c>
      <c r="X69" s="15">
        <f t="shared" si="2"/>
        <v>0.6</v>
      </c>
      <c r="Y69" s="15">
        <f t="shared" si="3"/>
        <v>0</v>
      </c>
      <c r="Z69" s="15"/>
    </row>
    <row r="70">
      <c r="A70" s="31">
        <v>45923.0</v>
      </c>
      <c r="B70" s="10">
        <v>29.0</v>
      </c>
      <c r="C70" s="10">
        <v>71.0</v>
      </c>
      <c r="D70" s="10">
        <v>14.0</v>
      </c>
      <c r="E70" s="10">
        <v>23.0</v>
      </c>
      <c r="F70" s="10">
        <v>4.0</v>
      </c>
      <c r="G70" s="10">
        <v>18.0</v>
      </c>
      <c r="H70" s="11">
        <f t="shared" si="4"/>
        <v>-14</v>
      </c>
      <c r="I70" s="10">
        <v>48.0</v>
      </c>
      <c r="J70" s="10">
        <v>50.0</v>
      </c>
      <c r="K70" s="10">
        <v>3.0</v>
      </c>
      <c r="L70" s="12">
        <v>5.0</v>
      </c>
      <c r="M70" s="10">
        <v>27.0</v>
      </c>
      <c r="N70" s="10">
        <v>9.0</v>
      </c>
      <c r="O70" s="10">
        <v>90.0</v>
      </c>
      <c r="P70" s="10">
        <v>5.0</v>
      </c>
      <c r="Q70" s="10">
        <v>40.0</v>
      </c>
      <c r="R70" s="10">
        <v>20.0</v>
      </c>
      <c r="S70" s="10">
        <v>52.0</v>
      </c>
      <c r="T70" s="10">
        <v>60.0</v>
      </c>
      <c r="U70" s="10">
        <v>40.0</v>
      </c>
      <c r="V70" s="7">
        <v>0.0</v>
      </c>
      <c r="W70" s="10">
        <v>4.0</v>
      </c>
      <c r="X70" s="15">
        <f t="shared" si="2"/>
        <v>0.45</v>
      </c>
      <c r="Y70" s="15">
        <f t="shared" si="3"/>
        <v>0</v>
      </c>
      <c r="Z70" s="15"/>
    </row>
    <row r="71">
      <c r="A71" s="31">
        <v>45924.0</v>
      </c>
      <c r="B71" s="10">
        <v>30.0</v>
      </c>
      <c r="C71" s="10">
        <v>70.0</v>
      </c>
      <c r="D71" s="10">
        <v>16.0</v>
      </c>
      <c r="E71" s="10">
        <v>17.0</v>
      </c>
      <c r="F71" s="10">
        <v>4.0</v>
      </c>
      <c r="G71" s="10">
        <v>17.0</v>
      </c>
      <c r="H71" s="11">
        <f t="shared" si="4"/>
        <v>-13</v>
      </c>
      <c r="I71" s="10">
        <v>50.0</v>
      </c>
      <c r="J71" s="10">
        <v>48.0</v>
      </c>
      <c r="K71" s="10">
        <v>2.0</v>
      </c>
      <c r="L71" s="12">
        <v>3.0</v>
      </c>
      <c r="M71" s="10">
        <v>28.0</v>
      </c>
      <c r="N71" s="10">
        <v>9.0</v>
      </c>
      <c r="O71" s="10">
        <v>90.0</v>
      </c>
      <c r="P71" s="10">
        <v>5.0</v>
      </c>
      <c r="Q71" s="10">
        <v>40.0</v>
      </c>
      <c r="R71" s="10">
        <v>20.0</v>
      </c>
      <c r="S71" s="10">
        <v>49.0</v>
      </c>
      <c r="T71" s="10">
        <v>60.0</v>
      </c>
      <c r="U71" s="10">
        <v>40.0</v>
      </c>
      <c r="V71" s="7">
        <v>0.0</v>
      </c>
      <c r="W71" s="10">
        <v>4.0</v>
      </c>
      <c r="X71" s="15">
        <f t="shared" si="2"/>
        <v>0.3</v>
      </c>
      <c r="Y71" s="15">
        <f t="shared" si="3"/>
        <v>0.15</v>
      </c>
      <c r="Z71" s="15"/>
    </row>
    <row r="72">
      <c r="A72" s="31">
        <v>45925.0</v>
      </c>
      <c r="B72" s="10">
        <v>30.0</v>
      </c>
      <c r="C72" s="10">
        <v>70.0</v>
      </c>
      <c r="D72" s="10">
        <v>17.5</v>
      </c>
      <c r="E72" s="10">
        <v>12.0</v>
      </c>
      <c r="F72" s="10">
        <v>6.0</v>
      </c>
      <c r="G72" s="10">
        <v>15.0</v>
      </c>
      <c r="H72" s="11">
        <f t="shared" si="4"/>
        <v>-9</v>
      </c>
      <c r="I72" s="10">
        <v>55.0</v>
      </c>
      <c r="J72" s="10">
        <v>43.0</v>
      </c>
      <c r="K72" s="10">
        <v>3.0</v>
      </c>
      <c r="L72" s="12">
        <v>2.5</v>
      </c>
      <c r="M72" s="10">
        <v>32.0</v>
      </c>
      <c r="N72" s="10">
        <v>7.0</v>
      </c>
      <c r="O72" s="10">
        <v>90.0</v>
      </c>
      <c r="P72" s="10">
        <v>5.0</v>
      </c>
      <c r="Q72" s="10">
        <v>40.0</v>
      </c>
      <c r="R72" s="10">
        <v>20.0</v>
      </c>
      <c r="S72" s="10">
        <v>38.0</v>
      </c>
      <c r="T72" s="10">
        <v>60.0</v>
      </c>
      <c r="U72" s="10">
        <v>40.0</v>
      </c>
      <c r="V72" s="7">
        <v>2.0</v>
      </c>
      <c r="W72" s="10">
        <v>4.0</v>
      </c>
      <c r="X72" s="15">
        <f t="shared" si="2"/>
        <v>0.1</v>
      </c>
      <c r="Y72" s="15">
        <f t="shared" si="3"/>
        <v>0.3</v>
      </c>
      <c r="Z72" s="15"/>
    </row>
    <row r="73">
      <c r="A73" s="31">
        <v>45926.0</v>
      </c>
      <c r="B73" s="10">
        <v>31.0</v>
      </c>
      <c r="C73" s="10">
        <v>68.0</v>
      </c>
      <c r="D73" s="10">
        <v>6.0</v>
      </c>
      <c r="E73" s="10">
        <v>4.5</v>
      </c>
      <c r="F73" s="10">
        <v>9.0</v>
      </c>
      <c r="G73" s="10">
        <v>11.0</v>
      </c>
      <c r="H73" s="11">
        <f t="shared" si="4"/>
        <v>-2</v>
      </c>
      <c r="I73" s="10">
        <v>61.5</v>
      </c>
      <c r="J73" s="10">
        <v>37.0</v>
      </c>
      <c r="K73" s="10">
        <v>4.6</v>
      </c>
      <c r="L73" s="12">
        <v>0.6</v>
      </c>
      <c r="M73" s="10">
        <v>39.8</v>
      </c>
      <c r="N73" s="10">
        <v>3.8</v>
      </c>
      <c r="O73" s="10">
        <v>90.0</v>
      </c>
      <c r="P73" s="10">
        <v>5.0</v>
      </c>
      <c r="Q73" s="10">
        <v>40.0</v>
      </c>
      <c r="R73" s="10">
        <v>20.0</v>
      </c>
      <c r="S73" s="10">
        <v>20.0</v>
      </c>
      <c r="T73" s="10">
        <v>60.0</v>
      </c>
      <c r="U73" s="10">
        <v>40.0</v>
      </c>
      <c r="V73" s="7">
        <v>4.0</v>
      </c>
      <c r="W73" s="10">
        <v>4.0</v>
      </c>
      <c r="X73" s="15">
        <f t="shared" si="2"/>
        <v>0</v>
      </c>
      <c r="Y73" s="15">
        <f t="shared" si="3"/>
        <v>0.7</v>
      </c>
      <c r="Z73" s="15"/>
    </row>
    <row r="74">
      <c r="A74" s="31">
        <v>45929.0</v>
      </c>
      <c r="B74" s="10">
        <v>39.0</v>
      </c>
      <c r="C74" s="10">
        <v>41.0</v>
      </c>
      <c r="D74" s="10">
        <v>6.0</v>
      </c>
      <c r="E74" s="10">
        <v>5.0</v>
      </c>
      <c r="F74" s="10">
        <v>10.0</v>
      </c>
      <c r="G74" s="10">
        <v>9.0</v>
      </c>
      <c r="H74" s="11">
        <f t="shared" si="4"/>
        <v>1</v>
      </c>
      <c r="I74" s="10">
        <v>62.5</v>
      </c>
      <c r="J74" s="10">
        <v>37.0</v>
      </c>
      <c r="K74" s="10">
        <v>5.32</v>
      </c>
      <c r="L74" s="12">
        <v>0.82</v>
      </c>
      <c r="M74" s="10">
        <v>38.45</v>
      </c>
      <c r="N74" s="10">
        <v>3.5</v>
      </c>
      <c r="O74" s="10">
        <v>90.0</v>
      </c>
      <c r="P74" s="10">
        <v>5.0</v>
      </c>
      <c r="Q74" s="10">
        <v>40.0</v>
      </c>
      <c r="R74" s="10">
        <v>20.0</v>
      </c>
      <c r="S74" s="10">
        <v>20.0</v>
      </c>
      <c r="T74" s="10">
        <v>60.0</v>
      </c>
      <c r="U74" s="10">
        <v>40.0</v>
      </c>
      <c r="V74" s="7">
        <v>4.0</v>
      </c>
      <c r="W74" s="10">
        <v>4.0</v>
      </c>
      <c r="X74" s="15">
        <f t="shared" si="2"/>
        <v>0</v>
      </c>
      <c r="Y74" s="15">
        <f t="shared" si="3"/>
        <v>0.7</v>
      </c>
      <c r="Z74" s="15"/>
    </row>
    <row r="75">
      <c r="A75" s="31">
        <v>45930.0</v>
      </c>
      <c r="B75" s="10">
        <v>52.0</v>
      </c>
      <c r="C75" s="10">
        <v>48.0</v>
      </c>
      <c r="D75" s="10">
        <v>22.5</v>
      </c>
      <c r="E75" s="10">
        <v>8.0</v>
      </c>
      <c r="F75" s="10">
        <v>11.0</v>
      </c>
      <c r="G75" s="10">
        <v>9.0</v>
      </c>
      <c r="H75" s="11">
        <f t="shared" si="4"/>
        <v>2</v>
      </c>
      <c r="I75" s="10">
        <v>61.0</v>
      </c>
      <c r="J75" s="10">
        <v>38.0</v>
      </c>
      <c r="K75" s="10">
        <v>3.2</v>
      </c>
      <c r="L75" s="12">
        <v>1.0</v>
      </c>
      <c r="M75" s="10">
        <v>33.5</v>
      </c>
      <c r="N75" s="10">
        <v>5.0</v>
      </c>
      <c r="O75" s="10">
        <v>90.0</v>
      </c>
      <c r="P75" s="10">
        <v>5.0</v>
      </c>
      <c r="Q75" s="10">
        <v>40.0</v>
      </c>
      <c r="R75" s="10">
        <v>20.0</v>
      </c>
      <c r="S75" s="10">
        <v>23.0</v>
      </c>
      <c r="T75" s="10">
        <v>60.0</v>
      </c>
      <c r="U75" s="10">
        <v>40.0</v>
      </c>
      <c r="V75" s="7">
        <v>3.0</v>
      </c>
      <c r="W75" s="10">
        <v>4.0</v>
      </c>
      <c r="X75" s="15">
        <f t="shared" si="2"/>
        <v>0.1</v>
      </c>
      <c r="Y75" s="15">
        <f t="shared" si="3"/>
        <v>0.45</v>
      </c>
      <c r="Z75" s="15"/>
    </row>
    <row r="76">
      <c r="A76" s="31">
        <v>45931.0</v>
      </c>
      <c r="B76" s="10">
        <v>78.0</v>
      </c>
      <c r="C76" s="10">
        <v>21.0</v>
      </c>
      <c r="D76" s="10">
        <v>29.0</v>
      </c>
      <c r="E76" s="10">
        <v>12.0</v>
      </c>
      <c r="F76" s="10">
        <v>9.5</v>
      </c>
      <c r="G76" s="10">
        <v>7.5</v>
      </c>
      <c r="H76" s="11">
        <f t="shared" si="4"/>
        <v>2</v>
      </c>
      <c r="I76" s="10">
        <v>62.0</v>
      </c>
      <c r="J76" s="10">
        <v>36.0</v>
      </c>
      <c r="K76" s="10">
        <v>4.0</v>
      </c>
      <c r="L76" s="12">
        <v>2.5</v>
      </c>
      <c r="M76" s="10">
        <v>35.0</v>
      </c>
      <c r="N76" s="10">
        <v>10.0</v>
      </c>
      <c r="O76" s="10">
        <v>90.0</v>
      </c>
      <c r="P76" s="10">
        <v>5.0</v>
      </c>
      <c r="Q76" s="10">
        <v>40.0</v>
      </c>
      <c r="R76" s="10">
        <v>20.0</v>
      </c>
      <c r="S76" s="10">
        <v>32.0</v>
      </c>
      <c r="T76" s="10">
        <v>60.0</v>
      </c>
      <c r="U76" s="10">
        <v>40.0</v>
      </c>
      <c r="V76" s="7">
        <v>4.0</v>
      </c>
      <c r="W76" s="10">
        <v>4.0</v>
      </c>
      <c r="X76" s="15">
        <f t="shared" si="2"/>
        <v>0.1</v>
      </c>
      <c r="Y76" s="15">
        <f t="shared" si="3"/>
        <v>0.85</v>
      </c>
      <c r="Z76" s="15"/>
    </row>
    <row r="77">
      <c r="A77" s="31">
        <v>45933.0</v>
      </c>
      <c r="B77" s="10">
        <v>81.0</v>
      </c>
      <c r="C77" s="10">
        <v>19.0</v>
      </c>
      <c r="D77" s="10">
        <v>20.0</v>
      </c>
      <c r="E77" s="10">
        <v>15.0</v>
      </c>
      <c r="F77" s="10">
        <v>8.5</v>
      </c>
      <c r="G77" s="10">
        <v>9.5</v>
      </c>
      <c r="H77" s="11">
        <f t="shared" si="4"/>
        <v>-1</v>
      </c>
      <c r="I77" s="10">
        <v>58.7</v>
      </c>
      <c r="J77" s="10">
        <v>40.0</v>
      </c>
      <c r="K77" s="10">
        <v>2.86</v>
      </c>
      <c r="L77" s="12">
        <v>1.0</v>
      </c>
      <c r="M77" s="10">
        <v>27.5</v>
      </c>
      <c r="N77" s="10">
        <v>5.0</v>
      </c>
      <c r="O77" s="10">
        <v>90.0</v>
      </c>
      <c r="P77" s="10">
        <v>5.0</v>
      </c>
      <c r="Q77" s="10">
        <v>40.0</v>
      </c>
      <c r="R77" s="10">
        <v>20.0</v>
      </c>
      <c r="S77" s="10">
        <v>40.0</v>
      </c>
      <c r="T77" s="10">
        <v>60.0</v>
      </c>
      <c r="U77" s="10">
        <v>40.0</v>
      </c>
      <c r="V77" s="7">
        <v>3.0</v>
      </c>
      <c r="W77" s="10">
        <v>4.0</v>
      </c>
      <c r="X77" s="15">
        <f t="shared" si="2"/>
        <v>0.1</v>
      </c>
      <c r="Y77" s="15">
        <f t="shared" si="3"/>
        <v>0.15</v>
      </c>
      <c r="Z77" s="15"/>
    </row>
    <row r="78">
      <c r="A78" s="31">
        <v>45936.0</v>
      </c>
      <c r="B78" s="10">
        <v>77.0</v>
      </c>
      <c r="C78" s="10">
        <v>23.0</v>
      </c>
      <c r="D78" s="10">
        <v>18.0</v>
      </c>
      <c r="E78" s="10">
        <v>17.0</v>
      </c>
      <c r="F78" s="10">
        <v>6.5</v>
      </c>
      <c r="G78" s="10">
        <v>11.5</v>
      </c>
      <c r="H78" s="11">
        <f t="shared" si="4"/>
        <v>-5</v>
      </c>
      <c r="I78" s="10">
        <v>54.0</v>
      </c>
      <c r="J78" s="10">
        <v>44.0</v>
      </c>
      <c r="K78" s="10">
        <v>2.0</v>
      </c>
      <c r="L78" s="12">
        <v>1.5</v>
      </c>
      <c r="M78" s="10">
        <v>27.0</v>
      </c>
      <c r="N78" s="10">
        <v>4.5</v>
      </c>
      <c r="O78" s="10">
        <v>90.0</v>
      </c>
      <c r="P78" s="10">
        <v>5.0</v>
      </c>
      <c r="Q78" s="10">
        <v>40.0</v>
      </c>
      <c r="R78" s="10">
        <v>20.0</v>
      </c>
      <c r="S78" s="10">
        <v>44.0</v>
      </c>
      <c r="T78" s="10">
        <v>60.0</v>
      </c>
      <c r="U78" s="10">
        <v>40.0</v>
      </c>
      <c r="V78" s="7">
        <v>2.0</v>
      </c>
      <c r="W78" s="10">
        <v>4.0</v>
      </c>
      <c r="X78" s="15">
        <f t="shared" si="2"/>
        <v>0.1</v>
      </c>
      <c r="Y78" s="15">
        <f t="shared" si="3"/>
        <v>0.15</v>
      </c>
      <c r="Z78" s="15"/>
    </row>
    <row r="79">
      <c r="A79" s="31">
        <v>45937.0</v>
      </c>
      <c r="B79" s="10">
        <v>70.0</v>
      </c>
      <c r="C79" s="10">
        <v>30.0</v>
      </c>
      <c r="D79" s="10">
        <v>20.0</v>
      </c>
      <c r="E79" s="10">
        <v>20.0</v>
      </c>
      <c r="F79" s="10">
        <v>6.3</v>
      </c>
      <c r="G79" s="10">
        <v>12.0</v>
      </c>
      <c r="H79" s="11">
        <f t="shared" si="4"/>
        <v>-5.7</v>
      </c>
      <c r="I79" s="10">
        <v>55.0</v>
      </c>
      <c r="J79" s="10">
        <v>44.0</v>
      </c>
      <c r="K79" s="10">
        <v>1.5</v>
      </c>
      <c r="L79" s="12">
        <v>1.0</v>
      </c>
      <c r="M79" s="10">
        <v>29.0</v>
      </c>
      <c r="N79" s="10">
        <v>3.0</v>
      </c>
      <c r="O79" s="10">
        <v>90.0</v>
      </c>
      <c r="P79" s="10">
        <v>5.0</v>
      </c>
      <c r="Q79" s="10">
        <v>40.0</v>
      </c>
      <c r="R79" s="10">
        <v>20.0</v>
      </c>
      <c r="S79" s="10">
        <v>45.4</v>
      </c>
      <c r="T79" s="10">
        <v>60.0</v>
      </c>
      <c r="U79" s="10">
        <v>40.0</v>
      </c>
      <c r="V79" s="7">
        <v>2.0</v>
      </c>
      <c r="W79" s="10">
        <v>4.0</v>
      </c>
      <c r="X79" s="15">
        <f t="shared" si="2"/>
        <v>0</v>
      </c>
      <c r="Y79" s="15">
        <f t="shared" si="3"/>
        <v>0.15</v>
      </c>
      <c r="Z79" s="15"/>
    </row>
    <row r="80">
      <c r="A80" s="31">
        <v>45938.0</v>
      </c>
      <c r="B80" s="10">
        <v>53.0</v>
      </c>
      <c r="C80" s="10">
        <v>46.0</v>
      </c>
      <c r="D80" s="10">
        <v>19.4</v>
      </c>
      <c r="E80" s="10">
        <v>20.0</v>
      </c>
      <c r="F80" s="10">
        <v>5.5</v>
      </c>
      <c r="G80" s="10">
        <v>12.0</v>
      </c>
      <c r="H80" s="11">
        <f t="shared" si="4"/>
        <v>-6.5</v>
      </c>
      <c r="I80" s="10">
        <v>57.0</v>
      </c>
      <c r="J80" s="10">
        <v>41.0</v>
      </c>
      <c r="K80" s="10">
        <v>1.2</v>
      </c>
      <c r="L80" s="12">
        <v>1.2</v>
      </c>
      <c r="M80" s="10">
        <v>30.0</v>
      </c>
      <c r="N80" s="10">
        <v>2.0</v>
      </c>
      <c r="O80" s="10">
        <v>90.0</v>
      </c>
      <c r="P80" s="10">
        <v>5.0</v>
      </c>
      <c r="Q80" s="10">
        <v>40.0</v>
      </c>
      <c r="R80" s="10">
        <v>20.0</v>
      </c>
      <c r="S80" s="10">
        <v>41.0</v>
      </c>
      <c r="T80" s="10">
        <v>60.0</v>
      </c>
      <c r="U80" s="10">
        <v>40.0</v>
      </c>
      <c r="V80" s="7">
        <v>2.0</v>
      </c>
      <c r="W80" s="10">
        <v>4.0</v>
      </c>
      <c r="X80" s="15">
        <f t="shared" si="2"/>
        <v>0</v>
      </c>
      <c r="Y80" s="15">
        <f t="shared" si="3"/>
        <v>0.15</v>
      </c>
      <c r="Z80" s="15"/>
    </row>
    <row r="81">
      <c r="A81" s="31">
        <v>45939.0</v>
      </c>
      <c r="B81" s="10">
        <v>48.0</v>
      </c>
      <c r="C81" s="10">
        <v>52.0</v>
      </c>
      <c r="D81" s="10">
        <v>17.5</v>
      </c>
      <c r="E81" s="10">
        <v>21.0</v>
      </c>
      <c r="F81" s="10">
        <v>5.0</v>
      </c>
      <c r="G81" s="10">
        <v>11.5</v>
      </c>
      <c r="H81" s="11">
        <f t="shared" si="4"/>
        <v>-6.5</v>
      </c>
      <c r="I81" s="10">
        <v>57.0</v>
      </c>
      <c r="J81" s="10">
        <v>41.0</v>
      </c>
      <c r="K81" s="10">
        <v>1.2</v>
      </c>
      <c r="L81" s="12">
        <v>1.6</v>
      </c>
      <c r="M81" s="10">
        <v>33.0</v>
      </c>
      <c r="N81" s="10">
        <v>3.0</v>
      </c>
      <c r="O81" s="10">
        <v>90.0</v>
      </c>
      <c r="P81" s="10">
        <v>5.0</v>
      </c>
      <c r="Q81" s="10">
        <v>40.0</v>
      </c>
      <c r="R81" s="10">
        <v>20.0</v>
      </c>
      <c r="S81" s="10">
        <v>41.0</v>
      </c>
      <c r="T81" s="10">
        <v>60.0</v>
      </c>
      <c r="U81" s="10">
        <v>40.0</v>
      </c>
      <c r="V81" s="7">
        <v>2.0</v>
      </c>
      <c r="W81" s="10">
        <v>4.0</v>
      </c>
      <c r="X81" s="15">
        <f t="shared" si="2"/>
        <v>0</v>
      </c>
      <c r="Y81" s="15">
        <f t="shared" si="3"/>
        <v>0.15</v>
      </c>
      <c r="Z81" s="15"/>
    </row>
    <row r="82">
      <c r="A82" s="31">
        <v>45940.0</v>
      </c>
      <c r="B82" s="10">
        <v>52.0</v>
      </c>
      <c r="C82" s="10">
        <v>47.0</v>
      </c>
      <c r="D82" s="10">
        <v>19.5</v>
      </c>
      <c r="E82" s="10">
        <v>27.0</v>
      </c>
      <c r="F82" s="10">
        <v>5.3</v>
      </c>
      <c r="G82" s="10">
        <v>10.8</v>
      </c>
      <c r="H82" s="11">
        <f t="shared" si="4"/>
        <v>-5.5</v>
      </c>
      <c r="I82" s="10">
        <v>57.0</v>
      </c>
      <c r="J82" s="10">
        <v>42.0</v>
      </c>
      <c r="K82" s="10">
        <v>1.2</v>
      </c>
      <c r="L82" s="12">
        <v>1.4</v>
      </c>
      <c r="M82" s="10">
        <v>30.5</v>
      </c>
      <c r="N82" s="10">
        <v>2.86</v>
      </c>
      <c r="O82" s="10">
        <v>90.0</v>
      </c>
      <c r="P82" s="10">
        <v>5.0</v>
      </c>
      <c r="Q82" s="10">
        <v>40.0</v>
      </c>
      <c r="R82" s="10">
        <v>20.0</v>
      </c>
      <c r="S82" s="10">
        <v>48.0</v>
      </c>
      <c r="T82" s="10">
        <v>60.0</v>
      </c>
      <c r="U82" s="10">
        <v>40.0</v>
      </c>
      <c r="V82" s="7">
        <v>1.0</v>
      </c>
      <c r="W82" s="10">
        <v>4.0</v>
      </c>
      <c r="X82" s="15">
        <f t="shared" si="2"/>
        <v>0</v>
      </c>
      <c r="Y82" s="15">
        <f t="shared" si="3"/>
        <v>0.15</v>
      </c>
      <c r="Z82" s="15"/>
    </row>
    <row r="83">
      <c r="A83" s="31">
        <v>45943.0</v>
      </c>
      <c r="B83" s="10">
        <v>49.0</v>
      </c>
      <c r="C83" s="10">
        <v>51.0</v>
      </c>
      <c r="D83" s="10">
        <v>20.0</v>
      </c>
      <c r="E83" s="10">
        <v>23.0</v>
      </c>
      <c r="F83" s="10">
        <v>5.5</v>
      </c>
      <c r="G83" s="10">
        <v>8.8</v>
      </c>
      <c r="H83" s="11">
        <f t="shared" si="4"/>
        <v>-3.3</v>
      </c>
      <c r="I83" s="10">
        <v>55.8</v>
      </c>
      <c r="J83" s="10">
        <v>43.0</v>
      </c>
      <c r="K83" s="10">
        <v>1.4</v>
      </c>
      <c r="L83" s="12">
        <v>1.0</v>
      </c>
      <c r="M83" s="10">
        <v>31.0</v>
      </c>
      <c r="N83" s="10">
        <v>2.0</v>
      </c>
      <c r="O83" s="10">
        <v>90.0</v>
      </c>
      <c r="P83" s="10">
        <v>5.0</v>
      </c>
      <c r="Q83" s="10">
        <v>40.0</v>
      </c>
      <c r="R83" s="10">
        <v>20.0</v>
      </c>
      <c r="S83" s="10">
        <v>42.9</v>
      </c>
      <c r="T83" s="10">
        <v>60.0</v>
      </c>
      <c r="U83" s="10">
        <v>40.0</v>
      </c>
      <c r="V83" s="7">
        <v>1.0</v>
      </c>
      <c r="W83" s="10">
        <v>4.0</v>
      </c>
      <c r="X83" s="15">
        <f t="shared" si="2"/>
        <v>0</v>
      </c>
      <c r="Y83" s="15">
        <f t="shared" si="3"/>
        <v>0.15</v>
      </c>
      <c r="Z83" s="15"/>
    </row>
    <row r="84">
      <c r="A84" s="31">
        <v>45944.0</v>
      </c>
      <c r="B84" s="10">
        <v>47.0</v>
      </c>
      <c r="C84" s="10">
        <v>53.0</v>
      </c>
      <c r="D84" s="10">
        <v>14.0</v>
      </c>
      <c r="E84" s="10">
        <v>18.0</v>
      </c>
      <c r="F84" s="10">
        <v>6.0</v>
      </c>
      <c r="G84" s="10">
        <v>9.0</v>
      </c>
      <c r="H84" s="11">
        <f t="shared" si="4"/>
        <v>-3</v>
      </c>
      <c r="I84" s="10">
        <v>55.0</v>
      </c>
      <c r="J84" s="10">
        <v>44.0</v>
      </c>
      <c r="K84" s="10">
        <v>2.0</v>
      </c>
      <c r="L84" s="12">
        <v>0.61</v>
      </c>
      <c r="M84" s="10">
        <v>33.0</v>
      </c>
      <c r="N84" s="10">
        <v>3.0</v>
      </c>
      <c r="O84" s="10">
        <v>90.0</v>
      </c>
      <c r="P84" s="10">
        <v>5.0</v>
      </c>
      <c r="Q84" s="10">
        <v>40.0</v>
      </c>
      <c r="R84" s="10">
        <v>20.0</v>
      </c>
      <c r="S84" s="10">
        <v>37.0</v>
      </c>
      <c r="T84" s="10">
        <v>60.0</v>
      </c>
      <c r="U84" s="10">
        <v>40.0</v>
      </c>
      <c r="V84" s="7">
        <v>2.0</v>
      </c>
      <c r="W84" s="10">
        <v>4.0</v>
      </c>
      <c r="X84" s="15">
        <f t="shared" si="2"/>
        <v>0</v>
      </c>
      <c r="Y84" s="15">
        <f t="shared" si="3"/>
        <v>0.3</v>
      </c>
      <c r="Z84" s="15"/>
    </row>
    <row r="85">
      <c r="A85" s="31">
        <v>45945.0</v>
      </c>
      <c r="B85" s="10">
        <v>49.0</v>
      </c>
      <c r="C85" s="10">
        <v>52.0</v>
      </c>
      <c r="D85" s="10">
        <v>13.0</v>
      </c>
      <c r="E85" s="10">
        <v>28.0</v>
      </c>
      <c r="F85" s="10">
        <v>6.0</v>
      </c>
      <c r="G85" s="10">
        <v>9.0</v>
      </c>
      <c r="H85" s="11">
        <f t="shared" si="4"/>
        <v>-3</v>
      </c>
      <c r="I85" s="10">
        <v>56.0</v>
      </c>
      <c r="J85" s="10">
        <v>43.0</v>
      </c>
      <c r="K85" s="10">
        <v>2.86</v>
      </c>
      <c r="L85" s="12">
        <v>1.23</v>
      </c>
      <c r="M85" s="10">
        <v>31.0</v>
      </c>
      <c r="N85" s="10">
        <v>2.45</v>
      </c>
      <c r="O85" s="10">
        <v>90.0</v>
      </c>
      <c r="P85" s="10">
        <v>5.0</v>
      </c>
      <c r="Q85" s="10">
        <v>40.0</v>
      </c>
      <c r="R85" s="10">
        <v>20.0</v>
      </c>
      <c r="S85" s="10">
        <v>46.0</v>
      </c>
      <c r="T85" s="10">
        <v>60.0</v>
      </c>
      <c r="U85" s="10">
        <v>40.0</v>
      </c>
      <c r="V85" s="7">
        <v>1.0</v>
      </c>
      <c r="W85" s="10">
        <v>4.0</v>
      </c>
      <c r="X85" s="15">
        <f t="shared" si="2"/>
        <v>0.15</v>
      </c>
      <c r="Y85" s="15">
        <f t="shared" si="3"/>
        <v>0.15</v>
      </c>
      <c r="Z85" s="15"/>
    </row>
    <row r="86">
      <c r="A86" s="31">
        <v>45946.0</v>
      </c>
      <c r="B86" s="10">
        <v>58.0</v>
      </c>
      <c r="C86" s="10">
        <v>42.0</v>
      </c>
      <c r="D86" s="10">
        <v>17.0</v>
      </c>
      <c r="E86" s="10">
        <v>23.0</v>
      </c>
      <c r="F86" s="10">
        <v>5.0</v>
      </c>
      <c r="G86" s="10">
        <v>9.0</v>
      </c>
      <c r="H86" s="11">
        <f t="shared" si="4"/>
        <v>-4</v>
      </c>
      <c r="I86" s="10">
        <v>53.0</v>
      </c>
      <c r="J86" s="10">
        <v>46.0</v>
      </c>
      <c r="K86" s="10">
        <v>0.82</v>
      </c>
      <c r="L86" s="12">
        <v>2.45</v>
      </c>
      <c r="M86" s="10">
        <v>28.0</v>
      </c>
      <c r="N86" s="10">
        <v>6.0</v>
      </c>
      <c r="O86" s="10">
        <v>90.0</v>
      </c>
      <c r="P86" s="10">
        <v>5.0</v>
      </c>
      <c r="Q86" s="10">
        <v>40.0</v>
      </c>
      <c r="R86" s="10">
        <v>20.0</v>
      </c>
      <c r="S86" s="10">
        <v>48.0</v>
      </c>
      <c r="T86" s="10">
        <v>60.0</v>
      </c>
      <c r="U86" s="10">
        <v>40.0</v>
      </c>
      <c r="V86" s="7">
        <v>2.0</v>
      </c>
      <c r="W86" s="10">
        <v>4.0</v>
      </c>
      <c r="X86" s="15">
        <f t="shared" si="2"/>
        <v>0.1</v>
      </c>
      <c r="Y86" s="15">
        <f t="shared" si="3"/>
        <v>0.15</v>
      </c>
      <c r="Z86" s="15"/>
    </row>
    <row r="87">
      <c r="A87" s="31">
        <v>45952.0</v>
      </c>
      <c r="B87" s="10">
        <v>53.0</v>
      </c>
      <c r="C87" s="10">
        <v>47.0</v>
      </c>
      <c r="D87" s="10">
        <v>14.5</v>
      </c>
      <c r="E87" s="10">
        <v>37.0</v>
      </c>
      <c r="F87" s="10">
        <v>4.9</v>
      </c>
      <c r="G87" s="10">
        <v>13.0</v>
      </c>
      <c r="H87" s="11">
        <f t="shared" si="4"/>
        <v>-8.1</v>
      </c>
      <c r="I87" s="10">
        <v>50.0</v>
      </c>
      <c r="J87" s="10">
        <v>49.0</v>
      </c>
      <c r="K87" s="10">
        <v>1.5</v>
      </c>
      <c r="L87" s="12">
        <v>4.5</v>
      </c>
      <c r="M87" s="10">
        <v>27.0</v>
      </c>
      <c r="N87" s="10">
        <v>7.0</v>
      </c>
      <c r="O87" s="10">
        <v>90.0</v>
      </c>
      <c r="P87" s="10">
        <v>5.0</v>
      </c>
      <c r="Q87" s="10">
        <v>40.0</v>
      </c>
      <c r="R87" s="10">
        <v>20.0</v>
      </c>
      <c r="S87" s="10">
        <v>51.0</v>
      </c>
      <c r="T87" s="10">
        <v>60.0</v>
      </c>
      <c r="U87" s="10">
        <v>40.0</v>
      </c>
      <c r="V87" s="7">
        <v>2.0</v>
      </c>
      <c r="W87" s="10">
        <v>4.0</v>
      </c>
      <c r="X87" s="15">
        <f t="shared" si="2"/>
        <v>0.25</v>
      </c>
      <c r="Y87" s="15">
        <f t="shared" si="3"/>
        <v>0.15</v>
      </c>
      <c r="Z87" s="15"/>
    </row>
    <row r="88">
      <c r="A88" s="31">
        <v>45954.0</v>
      </c>
      <c r="B88" s="10">
        <v>42.0</v>
      </c>
      <c r="C88" s="10">
        <v>58.0</v>
      </c>
      <c r="D88" s="10">
        <v>14.0</v>
      </c>
      <c r="E88" s="10">
        <v>24.0</v>
      </c>
      <c r="F88" s="10">
        <v>5.0</v>
      </c>
      <c r="G88" s="10">
        <v>10.0</v>
      </c>
      <c r="H88" s="11">
        <f t="shared" si="4"/>
        <v>-5</v>
      </c>
      <c r="I88" s="10">
        <v>55.0</v>
      </c>
      <c r="J88" s="10">
        <v>44.0</v>
      </c>
      <c r="K88" s="10">
        <v>2.25</v>
      </c>
      <c r="L88" s="12">
        <v>1.23</v>
      </c>
      <c r="M88" s="10">
        <v>30.0</v>
      </c>
      <c r="N88" s="10">
        <v>2.0</v>
      </c>
      <c r="O88" s="10">
        <v>90.0</v>
      </c>
      <c r="P88" s="10">
        <v>5.0</v>
      </c>
      <c r="Q88" s="10">
        <v>40.0</v>
      </c>
      <c r="R88" s="10">
        <v>20.0</v>
      </c>
      <c r="S88" s="10">
        <v>50.0</v>
      </c>
      <c r="T88" s="10">
        <v>60.0</v>
      </c>
      <c r="U88" s="10">
        <v>40.0</v>
      </c>
      <c r="V88" s="7">
        <v>1.0</v>
      </c>
      <c r="W88" s="10">
        <v>4.0</v>
      </c>
      <c r="X88" s="15">
        <f t="shared" si="2"/>
        <v>0</v>
      </c>
      <c r="Y88" s="15">
        <f t="shared" si="3"/>
        <v>0.15</v>
      </c>
      <c r="Z88" s="15"/>
    </row>
    <row r="89">
      <c r="A89" s="31">
        <v>45957.0</v>
      </c>
      <c r="B89" s="10">
        <v>42.0</v>
      </c>
      <c r="C89" s="10">
        <v>58.0</v>
      </c>
      <c r="D89" s="10">
        <v>15.0</v>
      </c>
      <c r="E89" s="10">
        <v>27.0</v>
      </c>
      <c r="F89" s="10">
        <v>5.74</v>
      </c>
      <c r="G89" s="10">
        <v>10.25</v>
      </c>
      <c r="H89" s="11">
        <f t="shared" si="4"/>
        <v>-4.51</v>
      </c>
      <c r="I89" s="10">
        <v>48.98</v>
      </c>
      <c r="J89" s="10">
        <v>48.77</v>
      </c>
      <c r="K89" s="10">
        <v>2.66</v>
      </c>
      <c r="L89" s="12">
        <v>2.87</v>
      </c>
      <c r="M89" s="10">
        <v>30.0</v>
      </c>
      <c r="N89" s="10">
        <v>4.0</v>
      </c>
      <c r="O89" s="10">
        <v>90.0</v>
      </c>
      <c r="P89" s="10">
        <v>5.0</v>
      </c>
      <c r="Q89" s="10">
        <v>40.0</v>
      </c>
      <c r="R89" s="10">
        <v>20.0</v>
      </c>
      <c r="S89" s="10">
        <v>55.0</v>
      </c>
      <c r="T89" s="10">
        <v>60.0</v>
      </c>
      <c r="U89" s="10">
        <v>40.0</v>
      </c>
      <c r="V89" s="7">
        <v>1.0</v>
      </c>
      <c r="W89" s="10">
        <v>4.0</v>
      </c>
      <c r="X89" s="15">
        <f t="shared" si="2"/>
        <v>0</v>
      </c>
      <c r="Y89" s="15">
        <f t="shared" si="3"/>
        <v>0.15</v>
      </c>
      <c r="Z89" s="15"/>
    </row>
    <row r="90">
      <c r="A90" s="31">
        <v>45958.0</v>
      </c>
      <c r="B90" s="10">
        <v>43.0</v>
      </c>
      <c r="C90" s="10">
        <v>57.0</v>
      </c>
      <c r="D90" s="10">
        <v>22.0</v>
      </c>
      <c r="E90" s="10">
        <v>23.0</v>
      </c>
      <c r="F90" s="10">
        <v>5.0</v>
      </c>
      <c r="G90" s="10">
        <v>12.0</v>
      </c>
      <c r="H90" s="11">
        <f t="shared" si="4"/>
        <v>-7</v>
      </c>
      <c r="I90" s="10">
        <v>49.0</v>
      </c>
      <c r="J90" s="10">
        <v>50.0</v>
      </c>
      <c r="K90" s="10">
        <v>0.2</v>
      </c>
      <c r="L90" s="12">
        <v>2.46</v>
      </c>
      <c r="M90" s="10">
        <v>28.0</v>
      </c>
      <c r="N90" s="10">
        <v>6.0</v>
      </c>
      <c r="O90" s="10">
        <v>90.0</v>
      </c>
      <c r="P90" s="10">
        <v>5.0</v>
      </c>
      <c r="Q90" s="10">
        <v>40.0</v>
      </c>
      <c r="R90" s="10">
        <v>20.0</v>
      </c>
      <c r="S90" s="10">
        <v>54.0</v>
      </c>
      <c r="T90" s="10">
        <v>60.0</v>
      </c>
      <c r="U90" s="10">
        <v>40.0</v>
      </c>
      <c r="V90" s="7">
        <v>1.0</v>
      </c>
      <c r="W90" s="10">
        <v>4.0</v>
      </c>
      <c r="X90" s="15">
        <f t="shared" si="2"/>
        <v>0.25</v>
      </c>
      <c r="Y90" s="15">
        <f t="shared" si="3"/>
        <v>0</v>
      </c>
      <c r="Z90" s="15"/>
    </row>
    <row r="91">
      <c r="A91" s="31">
        <v>45959.0</v>
      </c>
      <c r="B91" s="10">
        <v>48.0</v>
      </c>
      <c r="C91" s="10">
        <v>52.0</v>
      </c>
      <c r="D91" s="10">
        <v>15.0</v>
      </c>
      <c r="E91" s="10">
        <v>32.0</v>
      </c>
      <c r="F91" s="10">
        <v>5.0</v>
      </c>
      <c r="G91" s="10">
        <v>13.0</v>
      </c>
      <c r="H91" s="11">
        <f t="shared" si="4"/>
        <v>-8</v>
      </c>
      <c r="I91" s="10">
        <v>47.0</v>
      </c>
      <c r="J91" s="10">
        <v>51.0</v>
      </c>
      <c r="K91" s="10">
        <v>0.82</v>
      </c>
      <c r="L91" s="12">
        <v>1.43</v>
      </c>
      <c r="M91" s="10">
        <v>28.0</v>
      </c>
      <c r="N91" s="10">
        <v>3.0</v>
      </c>
      <c r="O91" s="10">
        <v>90.0</v>
      </c>
      <c r="P91" s="10">
        <v>5.0</v>
      </c>
      <c r="Q91" s="10">
        <v>40.0</v>
      </c>
      <c r="R91" s="10">
        <v>20.0</v>
      </c>
      <c r="S91" s="16">
        <v>62.0</v>
      </c>
      <c r="T91" s="10">
        <v>60.0</v>
      </c>
      <c r="U91" s="10">
        <v>40.0</v>
      </c>
      <c r="V91" s="7">
        <v>1.0</v>
      </c>
      <c r="W91" s="10">
        <v>4.0</v>
      </c>
      <c r="X91" s="15">
        <f t="shared" si="2"/>
        <v>0.3</v>
      </c>
      <c r="Y91" s="15">
        <f t="shared" si="3"/>
        <v>0</v>
      </c>
      <c r="Z91" s="15"/>
    </row>
    <row r="92">
      <c r="A92" s="31">
        <v>45960.0</v>
      </c>
      <c r="B92" s="10">
        <v>47.0</v>
      </c>
      <c r="C92" s="10">
        <v>53.0</v>
      </c>
      <c r="D92" s="10">
        <v>18.0</v>
      </c>
      <c r="E92" s="10">
        <v>28.0</v>
      </c>
      <c r="F92" s="10">
        <v>5.0</v>
      </c>
      <c r="G92" s="10">
        <v>14.0</v>
      </c>
      <c r="H92" s="11">
        <f t="shared" si="4"/>
        <v>-9</v>
      </c>
      <c r="I92" s="10">
        <v>51.0</v>
      </c>
      <c r="J92" s="10">
        <v>48.0</v>
      </c>
      <c r="K92" s="10">
        <v>1.84</v>
      </c>
      <c r="L92" s="12">
        <v>1.84</v>
      </c>
      <c r="M92" s="10">
        <v>29.0</v>
      </c>
      <c r="N92" s="10">
        <v>5.0</v>
      </c>
      <c r="O92" s="10">
        <v>90.0</v>
      </c>
      <c r="P92" s="10">
        <v>5.0</v>
      </c>
      <c r="Q92" s="10">
        <v>40.0</v>
      </c>
      <c r="R92" s="10">
        <v>20.0</v>
      </c>
      <c r="S92" s="10">
        <v>57.0</v>
      </c>
      <c r="T92" s="10">
        <v>60.0</v>
      </c>
      <c r="U92" s="10">
        <v>40.0</v>
      </c>
      <c r="V92" s="7">
        <v>0.0</v>
      </c>
      <c r="W92" s="10">
        <v>4.0</v>
      </c>
      <c r="X92" s="15">
        <f t="shared" si="2"/>
        <v>0.1</v>
      </c>
      <c r="Y92" s="15">
        <f t="shared" si="3"/>
        <v>0.15</v>
      </c>
      <c r="Z92" s="15"/>
    </row>
    <row r="93">
      <c r="A93" s="31">
        <v>45961.0</v>
      </c>
      <c r="B93" s="10">
        <v>44.0</v>
      </c>
      <c r="C93" s="10">
        <v>55.0</v>
      </c>
      <c r="D93" s="10">
        <v>18.0</v>
      </c>
      <c r="E93" s="10">
        <v>20.0</v>
      </c>
      <c r="F93" s="10">
        <v>6.35</v>
      </c>
      <c r="G93" s="10">
        <v>12.94</v>
      </c>
      <c r="H93" s="11">
        <f t="shared" si="4"/>
        <v>-6.59</v>
      </c>
      <c r="I93" s="10">
        <v>50.0</v>
      </c>
      <c r="J93" s="10">
        <v>48.0</v>
      </c>
      <c r="K93" s="10">
        <v>2.0</v>
      </c>
      <c r="L93" s="12">
        <v>3.89</v>
      </c>
      <c r="M93" s="10">
        <v>29.0</v>
      </c>
      <c r="N93" s="10">
        <v>6.35</v>
      </c>
      <c r="O93" s="10">
        <v>90.0</v>
      </c>
      <c r="P93" s="10">
        <v>5.0</v>
      </c>
      <c r="Q93" s="10">
        <v>40.0</v>
      </c>
      <c r="R93" s="10">
        <v>20.0</v>
      </c>
      <c r="S93" s="10">
        <v>47.54</v>
      </c>
      <c r="T93" s="10">
        <v>60.0</v>
      </c>
      <c r="U93" s="10">
        <v>40.0</v>
      </c>
      <c r="V93" s="7">
        <v>0.0</v>
      </c>
      <c r="W93" s="10">
        <v>4.0</v>
      </c>
      <c r="X93" s="15">
        <f t="shared" si="2"/>
        <v>0.1</v>
      </c>
      <c r="Y93" s="15">
        <f t="shared" si="3"/>
        <v>0.15</v>
      </c>
      <c r="Z93" s="15"/>
    </row>
    <row r="94">
      <c r="A94" s="31">
        <v>45964.0</v>
      </c>
      <c r="B94" s="10">
        <v>45.0</v>
      </c>
      <c r="C94" s="10">
        <v>55.0</v>
      </c>
      <c r="D94" s="10">
        <v>15.0</v>
      </c>
      <c r="E94" s="10">
        <v>26.0</v>
      </c>
      <c r="F94" s="10">
        <v>6.0</v>
      </c>
      <c r="G94" s="10">
        <v>13.0</v>
      </c>
      <c r="H94" s="11">
        <f t="shared" si="4"/>
        <v>-7</v>
      </c>
      <c r="I94" s="10">
        <v>51.0</v>
      </c>
      <c r="J94" s="10">
        <v>48.0</v>
      </c>
      <c r="K94" s="10">
        <v>4.0</v>
      </c>
      <c r="L94" s="12">
        <v>6.0</v>
      </c>
      <c r="M94" s="10">
        <v>31.0</v>
      </c>
      <c r="N94" s="10">
        <v>9.0</v>
      </c>
      <c r="O94" s="10">
        <v>90.0</v>
      </c>
      <c r="P94" s="10">
        <v>5.0</v>
      </c>
      <c r="Q94" s="10">
        <v>40.0</v>
      </c>
      <c r="R94" s="10">
        <v>20.0</v>
      </c>
      <c r="S94" s="10">
        <v>53.0</v>
      </c>
      <c r="T94" s="10">
        <v>60.0</v>
      </c>
      <c r="U94" s="10">
        <v>40.0</v>
      </c>
      <c r="V94" s="7">
        <v>0.0</v>
      </c>
      <c r="W94" s="10">
        <v>4.0</v>
      </c>
      <c r="X94" s="15">
        <f t="shared" si="2"/>
        <v>0.1</v>
      </c>
      <c r="Y94" s="15">
        <f t="shared" si="3"/>
        <v>0.15</v>
      </c>
      <c r="Z94" s="15"/>
    </row>
    <row r="95">
      <c r="A95" s="31">
        <v>45965.0</v>
      </c>
      <c r="B95" s="10">
        <v>48.0</v>
      </c>
      <c r="C95" s="10">
        <v>52.0</v>
      </c>
      <c r="D95" s="10">
        <v>24.0</v>
      </c>
      <c r="E95" s="10">
        <v>15.0</v>
      </c>
      <c r="F95" s="10">
        <v>6.0</v>
      </c>
      <c r="G95" s="10">
        <v>15.0</v>
      </c>
      <c r="H95" s="11">
        <f t="shared" si="4"/>
        <v>-9</v>
      </c>
      <c r="I95" s="10">
        <v>51.0</v>
      </c>
      <c r="J95" s="10">
        <v>48.0</v>
      </c>
      <c r="K95" s="10">
        <v>3.0</v>
      </c>
      <c r="L95" s="12">
        <v>6.0</v>
      </c>
      <c r="M95" s="10">
        <v>28.0</v>
      </c>
      <c r="N95" s="10">
        <v>11.0</v>
      </c>
      <c r="O95" s="10">
        <v>90.0</v>
      </c>
      <c r="P95" s="10">
        <v>5.0</v>
      </c>
      <c r="Q95" s="10">
        <v>40.0</v>
      </c>
      <c r="R95" s="10">
        <v>20.0</v>
      </c>
      <c r="S95" s="10">
        <v>46.0</v>
      </c>
      <c r="T95" s="10">
        <v>60.0</v>
      </c>
      <c r="U95" s="10">
        <v>40.0</v>
      </c>
      <c r="V95" s="7">
        <v>1.0</v>
      </c>
      <c r="W95" s="10">
        <v>4.0</v>
      </c>
      <c r="X95" s="15">
        <f t="shared" si="2"/>
        <v>0.1</v>
      </c>
      <c r="Y95" s="15">
        <f t="shared" si="3"/>
        <v>0.15</v>
      </c>
      <c r="Z95" s="15"/>
    </row>
    <row r="96">
      <c r="A96" s="31">
        <v>45967.0</v>
      </c>
      <c r="B96" s="10">
        <v>45.0</v>
      </c>
      <c r="C96" s="10">
        <v>54.0</v>
      </c>
      <c r="D96" s="10">
        <v>13.0</v>
      </c>
      <c r="E96" s="10">
        <v>10.0</v>
      </c>
      <c r="F96" s="10">
        <v>7.0</v>
      </c>
      <c r="G96" s="10">
        <v>11.0</v>
      </c>
      <c r="H96" s="11">
        <f t="shared" si="4"/>
        <v>-4</v>
      </c>
      <c r="I96" s="10">
        <v>54.0</v>
      </c>
      <c r="J96" s="10">
        <v>45.0</v>
      </c>
      <c r="K96" s="10">
        <v>4.7</v>
      </c>
      <c r="L96" s="12">
        <v>1.8</v>
      </c>
      <c r="M96" s="10">
        <v>35.0</v>
      </c>
      <c r="N96" s="10">
        <v>6.0</v>
      </c>
      <c r="O96" s="10">
        <v>90.0</v>
      </c>
      <c r="P96" s="10">
        <v>5.0</v>
      </c>
      <c r="Q96" s="10">
        <v>40.0</v>
      </c>
      <c r="R96" s="10">
        <v>20.0</v>
      </c>
      <c r="S96" s="10">
        <v>42.0</v>
      </c>
      <c r="T96" s="10">
        <v>60.0</v>
      </c>
      <c r="U96" s="10">
        <v>40.0</v>
      </c>
      <c r="V96" s="7">
        <v>2.0</v>
      </c>
      <c r="W96" s="10">
        <v>4.0</v>
      </c>
      <c r="X96" s="15">
        <f t="shared" si="2"/>
        <v>0.1</v>
      </c>
      <c r="Y96" s="15">
        <f t="shared" si="3"/>
        <v>0.15</v>
      </c>
      <c r="Z96" s="15"/>
    </row>
    <row r="97">
      <c r="A97" s="31">
        <v>45968.0</v>
      </c>
      <c r="B97" s="10">
        <v>45.0</v>
      </c>
      <c r="C97" s="10">
        <v>55.0</v>
      </c>
      <c r="D97" s="10">
        <v>7.0</v>
      </c>
      <c r="E97" s="10">
        <v>13.0</v>
      </c>
      <c r="F97" s="10">
        <v>15.0</v>
      </c>
      <c r="G97" s="10">
        <v>11.0</v>
      </c>
      <c r="H97" s="11">
        <f t="shared" si="4"/>
        <v>4</v>
      </c>
      <c r="I97" s="10">
        <v>59.0</v>
      </c>
      <c r="J97" s="10">
        <v>40.0</v>
      </c>
      <c r="K97" s="10">
        <v>7.0</v>
      </c>
      <c r="L97" s="12">
        <v>1.0</v>
      </c>
      <c r="M97" s="10">
        <v>40.0</v>
      </c>
      <c r="N97" s="10">
        <v>6.0</v>
      </c>
      <c r="O97" s="10">
        <v>90.0</v>
      </c>
      <c r="P97" s="10">
        <v>5.0</v>
      </c>
      <c r="Q97" s="10">
        <v>40.0</v>
      </c>
      <c r="R97" s="10">
        <v>20.0</v>
      </c>
      <c r="S97" s="10">
        <v>36.0</v>
      </c>
      <c r="T97" s="10">
        <v>60.0</v>
      </c>
      <c r="U97" s="10">
        <v>40.0</v>
      </c>
      <c r="V97" s="7">
        <v>2.0</v>
      </c>
      <c r="W97" s="10">
        <v>4.0</v>
      </c>
      <c r="X97" s="15">
        <f t="shared" si="2"/>
        <v>0.1</v>
      </c>
      <c r="Y97" s="15">
        <f t="shared" si="3"/>
        <v>0.3</v>
      </c>
      <c r="Z97" s="15"/>
    </row>
    <row r="98">
      <c r="A98" s="31">
        <v>45971.0</v>
      </c>
      <c r="B98" s="10">
        <v>60.0</v>
      </c>
      <c r="C98" s="10">
        <v>40.0</v>
      </c>
      <c r="D98" s="10">
        <v>16.0</v>
      </c>
      <c r="E98" s="10">
        <v>12.0</v>
      </c>
      <c r="F98" s="10">
        <v>12.0</v>
      </c>
      <c r="G98" s="10">
        <v>11.0</v>
      </c>
      <c r="H98" s="11">
        <f t="shared" si="4"/>
        <v>1</v>
      </c>
      <c r="I98" s="10">
        <v>57.0</v>
      </c>
      <c r="J98" s="10">
        <v>43.0</v>
      </c>
      <c r="K98" s="10">
        <v>4.0</v>
      </c>
      <c r="L98" s="12">
        <v>2.0</v>
      </c>
      <c r="M98" s="10">
        <v>27.0</v>
      </c>
      <c r="N98" s="10">
        <v>5.0</v>
      </c>
      <c r="O98" s="10">
        <v>90.0</v>
      </c>
      <c r="P98" s="10">
        <v>5.0</v>
      </c>
      <c r="Q98" s="10">
        <v>40.0</v>
      </c>
      <c r="R98" s="10">
        <v>20.0</v>
      </c>
      <c r="S98" s="10">
        <v>38.0</v>
      </c>
      <c r="T98" s="10">
        <v>60.0</v>
      </c>
      <c r="U98" s="10">
        <v>40.0</v>
      </c>
      <c r="V98" s="7">
        <v>3.0</v>
      </c>
      <c r="W98" s="10">
        <v>4.0</v>
      </c>
      <c r="X98" s="15">
        <f t="shared" si="2"/>
        <v>0.1</v>
      </c>
      <c r="Y98" s="15">
        <f t="shared" si="3"/>
        <v>0.3</v>
      </c>
      <c r="Z98" s="15"/>
    </row>
    <row r="99">
      <c r="A99" s="31">
        <v>45972.0</v>
      </c>
      <c r="B99" s="10">
        <v>66.0</v>
      </c>
      <c r="C99" s="10">
        <v>34.0</v>
      </c>
      <c r="D99" s="10">
        <v>19.0</v>
      </c>
      <c r="E99" s="10">
        <v>14.0</v>
      </c>
      <c r="F99" s="10">
        <v>11.0</v>
      </c>
      <c r="G99" s="10">
        <v>13.0</v>
      </c>
      <c r="H99" s="11">
        <f t="shared" si="4"/>
        <v>-2</v>
      </c>
      <c r="I99" s="10">
        <v>55.0</v>
      </c>
      <c r="J99" s="10">
        <v>43.0</v>
      </c>
      <c r="K99" s="10">
        <v>3.0</v>
      </c>
      <c r="L99" s="12">
        <v>1.0</v>
      </c>
      <c r="M99" s="10">
        <v>30.0</v>
      </c>
      <c r="N99" s="10">
        <v>2.0</v>
      </c>
      <c r="O99" s="10">
        <v>90.0</v>
      </c>
      <c r="P99" s="10">
        <v>5.0</v>
      </c>
      <c r="Q99" s="10">
        <v>40.0</v>
      </c>
      <c r="R99" s="10">
        <v>20.0</v>
      </c>
      <c r="S99" s="10">
        <v>38.0</v>
      </c>
      <c r="T99" s="10">
        <v>60.0</v>
      </c>
      <c r="U99" s="10">
        <v>40.0</v>
      </c>
      <c r="V99" s="7">
        <v>3.0</v>
      </c>
      <c r="W99" s="10">
        <v>4.0</v>
      </c>
      <c r="X99" s="15">
        <f t="shared" si="2"/>
        <v>0</v>
      </c>
      <c r="Y99" s="15">
        <f t="shared" si="3"/>
        <v>0.3</v>
      </c>
      <c r="Z99" s="15"/>
    </row>
    <row r="100">
      <c r="A100" s="31">
        <v>45973.0</v>
      </c>
      <c r="B100" s="10">
        <v>73.0</v>
      </c>
      <c r="C100" s="10">
        <v>27.0</v>
      </c>
      <c r="D100" s="10">
        <v>16.0</v>
      </c>
      <c r="E100" s="10">
        <v>17.0</v>
      </c>
      <c r="F100" s="10">
        <v>9.0</v>
      </c>
      <c r="G100" s="10">
        <v>13.0</v>
      </c>
      <c r="H100" s="11">
        <f t="shared" si="4"/>
        <v>-4</v>
      </c>
      <c r="I100" s="10">
        <v>54.0</v>
      </c>
      <c r="J100" s="10">
        <v>45.0</v>
      </c>
      <c r="K100" s="10">
        <v>3.0</v>
      </c>
      <c r="L100" s="12">
        <v>2.0</v>
      </c>
      <c r="M100" s="10">
        <v>33.0</v>
      </c>
      <c r="N100" s="10">
        <v>7.0</v>
      </c>
      <c r="O100" s="10">
        <v>90.0</v>
      </c>
      <c r="P100" s="10">
        <v>5.0</v>
      </c>
      <c r="Q100" s="10">
        <v>40.0</v>
      </c>
      <c r="R100" s="10">
        <v>20.0</v>
      </c>
      <c r="S100" s="10">
        <v>43.0</v>
      </c>
      <c r="T100" s="10">
        <v>60.0</v>
      </c>
      <c r="U100" s="10">
        <v>40.0</v>
      </c>
      <c r="V100" s="7">
        <v>2.0</v>
      </c>
      <c r="W100" s="10">
        <v>4.0</v>
      </c>
      <c r="X100" s="15">
        <f t="shared" si="2"/>
        <v>0.1</v>
      </c>
      <c r="Y100" s="15">
        <f t="shared" si="3"/>
        <v>0.15</v>
      </c>
      <c r="Z100" s="15"/>
    </row>
    <row r="101">
      <c r="A101" s="31">
        <v>45974.0</v>
      </c>
      <c r="B101" s="10">
        <v>68.0</v>
      </c>
      <c r="C101" s="10">
        <v>32.0</v>
      </c>
      <c r="D101" s="10">
        <v>19.0</v>
      </c>
      <c r="E101" s="10">
        <v>16.0</v>
      </c>
      <c r="F101" s="10">
        <v>10.0</v>
      </c>
      <c r="G101" s="10">
        <v>14.0</v>
      </c>
      <c r="H101" s="11">
        <f t="shared" si="4"/>
        <v>-4</v>
      </c>
      <c r="I101" s="10">
        <v>54.0</v>
      </c>
      <c r="J101" s="10">
        <v>46.0</v>
      </c>
      <c r="K101" s="10">
        <v>1.84</v>
      </c>
      <c r="L101" s="12">
        <v>1.84</v>
      </c>
      <c r="M101" s="10">
        <v>31.0</v>
      </c>
      <c r="N101" s="10">
        <v>6.0</v>
      </c>
      <c r="O101" s="10">
        <v>90.0</v>
      </c>
      <c r="P101" s="10">
        <v>5.0</v>
      </c>
      <c r="Q101" s="10">
        <v>40.0</v>
      </c>
      <c r="R101" s="10">
        <v>20.0</v>
      </c>
      <c r="S101" s="10">
        <v>43.0</v>
      </c>
      <c r="T101" s="10">
        <v>60.0</v>
      </c>
      <c r="U101" s="10">
        <v>40.0</v>
      </c>
      <c r="V101" s="7">
        <v>1.0</v>
      </c>
      <c r="W101" s="10">
        <v>4.0</v>
      </c>
      <c r="X101" s="15">
        <f t="shared" si="2"/>
        <v>0.1</v>
      </c>
      <c r="Y101" s="15">
        <f t="shared" si="3"/>
        <v>0.15</v>
      </c>
      <c r="Z101" s="15"/>
    </row>
    <row r="102">
      <c r="A102" s="31">
        <v>45975.0</v>
      </c>
      <c r="B102" s="10">
        <v>59.0</v>
      </c>
      <c r="C102" s="10">
        <v>41.0</v>
      </c>
      <c r="D102" s="10">
        <v>17.0</v>
      </c>
      <c r="E102" s="10">
        <v>25.0</v>
      </c>
      <c r="F102" s="10">
        <v>10.0</v>
      </c>
      <c r="G102" s="10">
        <v>12.0</v>
      </c>
      <c r="H102" s="11">
        <f t="shared" si="4"/>
        <v>-2</v>
      </c>
      <c r="I102" s="10">
        <v>57.0</v>
      </c>
      <c r="J102" s="10">
        <v>42.0</v>
      </c>
      <c r="K102" s="10">
        <v>2.0</v>
      </c>
      <c r="L102" s="12">
        <v>1.0</v>
      </c>
      <c r="M102" s="10">
        <v>32.0</v>
      </c>
      <c r="N102" s="10">
        <v>2.0</v>
      </c>
      <c r="O102" s="10">
        <v>90.0</v>
      </c>
      <c r="P102" s="10">
        <v>5.0</v>
      </c>
      <c r="Q102" s="10">
        <v>40.0</v>
      </c>
      <c r="R102" s="10">
        <v>20.0</v>
      </c>
      <c r="S102" s="10">
        <v>43.0</v>
      </c>
      <c r="T102" s="10">
        <v>60.0</v>
      </c>
      <c r="U102" s="10">
        <v>40.0</v>
      </c>
      <c r="V102" s="7">
        <v>1.0</v>
      </c>
      <c r="W102" s="10">
        <v>4.0</v>
      </c>
      <c r="X102" s="15">
        <f t="shared" si="2"/>
        <v>0</v>
      </c>
      <c r="Y102" s="15">
        <f t="shared" si="3"/>
        <v>0.15</v>
      </c>
      <c r="Z102" s="15"/>
    </row>
    <row r="103">
      <c r="A103" s="31">
        <v>45978.0</v>
      </c>
      <c r="B103" s="10">
        <v>60.0</v>
      </c>
      <c r="C103" s="10">
        <v>40.0</v>
      </c>
      <c r="D103" s="10">
        <v>18.0</v>
      </c>
      <c r="E103" s="10">
        <v>26.0</v>
      </c>
      <c r="F103" s="10">
        <v>10.0</v>
      </c>
      <c r="G103" s="10">
        <v>14.0</v>
      </c>
      <c r="H103" s="11">
        <f t="shared" si="4"/>
        <v>-4</v>
      </c>
      <c r="I103" s="10">
        <v>52.0</v>
      </c>
      <c r="J103" s="10">
        <v>47.0</v>
      </c>
      <c r="K103" s="10">
        <v>3.0</v>
      </c>
      <c r="L103" s="12">
        <v>2.0</v>
      </c>
      <c r="M103" s="10">
        <v>28.0</v>
      </c>
      <c r="N103" s="10">
        <v>5.0</v>
      </c>
      <c r="O103" s="10">
        <v>90.0</v>
      </c>
      <c r="P103" s="10">
        <v>5.0</v>
      </c>
      <c r="Q103" s="10">
        <v>40.0</v>
      </c>
      <c r="R103" s="10">
        <v>20.0</v>
      </c>
      <c r="S103" s="16">
        <v>48.0</v>
      </c>
      <c r="T103" s="10">
        <v>60.0</v>
      </c>
      <c r="U103" s="10">
        <v>40.0</v>
      </c>
      <c r="V103" s="7">
        <v>1.0</v>
      </c>
      <c r="W103" s="10">
        <v>4.0</v>
      </c>
      <c r="X103" s="15">
        <f t="shared" si="2"/>
        <v>0.1</v>
      </c>
      <c r="Y103" s="15">
        <f t="shared" si="3"/>
        <v>0.15</v>
      </c>
      <c r="Z103" s="15"/>
    </row>
    <row r="104">
      <c r="A104" s="31">
        <v>45979.0</v>
      </c>
      <c r="B104" s="10">
        <v>52.0</v>
      </c>
      <c r="C104" s="10">
        <v>48.0</v>
      </c>
      <c r="D104" s="10">
        <v>21.0</v>
      </c>
      <c r="E104" s="10">
        <v>18.0</v>
      </c>
      <c r="F104" s="10">
        <v>9.0</v>
      </c>
      <c r="G104" s="10">
        <v>14.0</v>
      </c>
      <c r="H104" s="11">
        <f t="shared" si="4"/>
        <v>-5</v>
      </c>
      <c r="I104" s="10">
        <v>57.0</v>
      </c>
      <c r="J104" s="10">
        <v>42.0</v>
      </c>
      <c r="K104" s="10">
        <v>5.0</v>
      </c>
      <c r="L104" s="12">
        <v>3.0</v>
      </c>
      <c r="M104" s="10">
        <v>32.0</v>
      </c>
      <c r="N104" s="10">
        <v>9.0</v>
      </c>
      <c r="O104" s="10">
        <v>90.0</v>
      </c>
      <c r="P104" s="10">
        <v>5.0</v>
      </c>
      <c r="Q104" s="10">
        <v>40.0</v>
      </c>
      <c r="R104" s="10">
        <v>20.0</v>
      </c>
      <c r="S104" s="10">
        <v>40.0</v>
      </c>
      <c r="T104" s="10">
        <v>60.0</v>
      </c>
      <c r="U104" s="10">
        <v>40.0</v>
      </c>
      <c r="V104" s="7">
        <v>4.0</v>
      </c>
      <c r="W104" s="10">
        <v>4.0</v>
      </c>
      <c r="X104" s="15">
        <f t="shared" si="2"/>
        <v>0.1</v>
      </c>
      <c r="Y104" s="15">
        <f t="shared" si="3"/>
        <v>0.55</v>
      </c>
      <c r="Z104" s="15"/>
    </row>
    <row r="105">
      <c r="A105" s="31">
        <v>45980.0</v>
      </c>
      <c r="B105" s="10">
        <v>51.0</v>
      </c>
      <c r="C105" s="10">
        <v>49.0</v>
      </c>
      <c r="D105" s="10">
        <v>15.0</v>
      </c>
      <c r="E105" s="10">
        <v>19.0</v>
      </c>
      <c r="F105" s="10">
        <v>9.0</v>
      </c>
      <c r="G105" s="10">
        <v>13.0</v>
      </c>
      <c r="H105" s="11">
        <f t="shared" si="4"/>
        <v>-4</v>
      </c>
      <c r="I105" s="10">
        <v>54.0</v>
      </c>
      <c r="J105" s="10">
        <v>45.0</v>
      </c>
      <c r="K105" s="10">
        <v>5.0</v>
      </c>
      <c r="L105" s="12">
        <v>2.0</v>
      </c>
      <c r="M105" s="10">
        <v>34.0</v>
      </c>
      <c r="N105" s="10">
        <v>8.0</v>
      </c>
      <c r="O105" s="10">
        <v>90.0</v>
      </c>
      <c r="P105" s="10">
        <v>5.0</v>
      </c>
      <c r="Q105" s="10">
        <v>40.0</v>
      </c>
      <c r="R105" s="10">
        <v>20.0</v>
      </c>
      <c r="S105" s="10">
        <v>39.0</v>
      </c>
      <c r="T105" s="10">
        <v>60.0</v>
      </c>
      <c r="U105" s="10">
        <v>40.0</v>
      </c>
      <c r="V105" s="7">
        <v>2.0</v>
      </c>
      <c r="W105" s="10">
        <v>4.0</v>
      </c>
      <c r="X105" s="15">
        <f t="shared" si="2"/>
        <v>0.1</v>
      </c>
      <c r="Y105" s="15">
        <f t="shared" si="3"/>
        <v>0.3</v>
      </c>
      <c r="Z105" s="15"/>
    </row>
    <row r="106">
      <c r="A106" s="31">
        <v>45981.0</v>
      </c>
      <c r="B106" s="10">
        <v>50.0</v>
      </c>
      <c r="C106" s="10">
        <v>50.0</v>
      </c>
      <c r="D106" s="10">
        <v>24.0</v>
      </c>
      <c r="E106" s="10">
        <v>20.0</v>
      </c>
      <c r="F106" s="10">
        <v>9.0</v>
      </c>
      <c r="G106" s="10">
        <v>13.0</v>
      </c>
      <c r="H106" s="11">
        <f t="shared" si="4"/>
        <v>-4</v>
      </c>
      <c r="I106" s="10">
        <v>56.0</v>
      </c>
      <c r="J106" s="10">
        <v>43.0</v>
      </c>
      <c r="K106" s="10">
        <v>3.48</v>
      </c>
      <c r="L106" s="12" t="s">
        <v>27</v>
      </c>
      <c r="M106" s="10">
        <v>31.0</v>
      </c>
      <c r="N106" s="10">
        <v>9.0</v>
      </c>
      <c r="O106" s="10">
        <v>90.0</v>
      </c>
      <c r="P106" s="10">
        <v>5.0</v>
      </c>
      <c r="Q106" s="10">
        <v>40.0</v>
      </c>
      <c r="R106" s="10">
        <v>20.0</v>
      </c>
      <c r="S106" s="10">
        <v>40.0</v>
      </c>
      <c r="T106" s="10">
        <v>60.0</v>
      </c>
      <c r="U106" s="10">
        <v>40.0</v>
      </c>
      <c r="V106" s="7">
        <v>1.0</v>
      </c>
      <c r="W106" s="10">
        <v>4.0</v>
      </c>
      <c r="X106" s="15">
        <f t="shared" si="2"/>
        <v>0.1</v>
      </c>
      <c r="Y106" s="15">
        <f t="shared" si="3"/>
        <v>0.15</v>
      </c>
      <c r="Z106" s="15"/>
    </row>
    <row r="107">
      <c r="A107" s="31">
        <v>45982.0</v>
      </c>
      <c r="B107" s="10">
        <v>48.0</v>
      </c>
      <c r="C107" s="10">
        <v>52.0</v>
      </c>
      <c r="D107" s="10">
        <v>21.0</v>
      </c>
      <c r="E107" s="10">
        <v>13.0</v>
      </c>
      <c r="F107" s="10">
        <v>10.0</v>
      </c>
      <c r="G107" s="10">
        <v>10.25</v>
      </c>
      <c r="H107" s="11">
        <f t="shared" si="4"/>
        <v>-0.25</v>
      </c>
      <c r="I107" s="10">
        <v>57.0</v>
      </c>
      <c r="J107" s="10">
        <v>41.0</v>
      </c>
      <c r="K107" s="10">
        <v>6.0</v>
      </c>
      <c r="L107" s="12">
        <v>1.0</v>
      </c>
      <c r="M107" s="10">
        <v>37.0</v>
      </c>
      <c r="N107" s="10">
        <v>5.0</v>
      </c>
      <c r="O107" s="10">
        <v>90.0</v>
      </c>
      <c r="P107" s="10">
        <v>5.0</v>
      </c>
      <c r="Q107" s="10">
        <v>40.0</v>
      </c>
      <c r="R107" s="10">
        <v>20.0</v>
      </c>
      <c r="S107" s="10">
        <v>31.0</v>
      </c>
      <c r="T107" s="10">
        <v>60.0</v>
      </c>
      <c r="U107" s="10">
        <v>40.0</v>
      </c>
      <c r="V107" s="7">
        <v>3.0</v>
      </c>
      <c r="W107" s="10">
        <v>4.0</v>
      </c>
      <c r="X107" s="15">
        <f t="shared" si="2"/>
        <v>0.1</v>
      </c>
      <c r="Y107" s="15">
        <f t="shared" si="3"/>
        <v>0.3</v>
      </c>
      <c r="Z107" s="15"/>
    </row>
    <row r="108">
      <c r="A108" s="31">
        <v>45985.0</v>
      </c>
      <c r="B108" s="10">
        <v>52.0</v>
      </c>
      <c r="C108" s="10">
        <v>48.0</v>
      </c>
      <c r="D108" s="10">
        <v>11.0</v>
      </c>
      <c r="E108" s="10">
        <v>10.0</v>
      </c>
      <c r="F108" s="10">
        <v>13.0</v>
      </c>
      <c r="G108" s="10">
        <v>9.0</v>
      </c>
      <c r="H108" s="11">
        <f t="shared" si="4"/>
        <v>4</v>
      </c>
      <c r="I108" s="10">
        <v>58.0</v>
      </c>
      <c r="J108" s="10">
        <v>41.0</v>
      </c>
      <c r="K108" s="10">
        <v>6.0</v>
      </c>
      <c r="L108" s="12">
        <v>1.0</v>
      </c>
      <c r="M108" s="10">
        <v>39.0</v>
      </c>
      <c r="N108" s="10">
        <v>4.0</v>
      </c>
      <c r="O108" s="10">
        <v>90.0</v>
      </c>
      <c r="P108" s="10">
        <v>5.0</v>
      </c>
      <c r="Q108" s="10">
        <v>40.0</v>
      </c>
      <c r="R108" s="10">
        <v>20.0</v>
      </c>
      <c r="S108" s="10">
        <v>29.0</v>
      </c>
      <c r="T108" s="10">
        <v>60.0</v>
      </c>
      <c r="U108" s="10">
        <v>40.0</v>
      </c>
      <c r="V108" s="7">
        <v>3.0</v>
      </c>
      <c r="W108" s="10">
        <v>4.0</v>
      </c>
      <c r="X108" s="15">
        <f t="shared" si="2"/>
        <v>0</v>
      </c>
      <c r="Y108" s="15">
        <f t="shared" si="3"/>
        <v>0.3</v>
      </c>
      <c r="Z108" s="15"/>
    </row>
    <row r="109">
      <c r="A109" s="31">
        <v>45986.0</v>
      </c>
      <c r="B109" s="10">
        <v>57.0</v>
      </c>
      <c r="C109" s="10">
        <v>43.0</v>
      </c>
      <c r="D109" s="10">
        <v>21.0</v>
      </c>
      <c r="E109" s="10">
        <v>13.0</v>
      </c>
      <c r="F109" s="10">
        <v>14.0</v>
      </c>
      <c r="G109" s="10">
        <v>8.0</v>
      </c>
      <c r="H109" s="11">
        <f t="shared" si="4"/>
        <v>6</v>
      </c>
      <c r="I109" s="10">
        <v>60.0</v>
      </c>
      <c r="J109" s="10">
        <v>39.0</v>
      </c>
      <c r="K109" s="10">
        <v>7.0</v>
      </c>
      <c r="L109" s="12">
        <v>2.0</v>
      </c>
      <c r="M109" s="10">
        <v>40.0</v>
      </c>
      <c r="N109" s="10">
        <v>9.0</v>
      </c>
      <c r="O109" s="10">
        <v>90.0</v>
      </c>
      <c r="P109" s="10">
        <v>5.0</v>
      </c>
      <c r="Q109" s="10">
        <v>40.0</v>
      </c>
      <c r="R109" s="10">
        <v>20.0</v>
      </c>
      <c r="S109" s="10">
        <v>28.0</v>
      </c>
      <c r="T109" s="10">
        <v>60.0</v>
      </c>
      <c r="U109" s="10">
        <v>40.0</v>
      </c>
      <c r="V109" s="7">
        <v>5.0</v>
      </c>
      <c r="W109" s="10">
        <v>4.0</v>
      </c>
      <c r="X109" s="15">
        <f t="shared" si="2"/>
        <v>0.1</v>
      </c>
      <c r="Y109" s="15">
        <f t="shared" si="3"/>
        <v>0.7</v>
      </c>
      <c r="Z109" s="15"/>
    </row>
    <row r="110">
      <c r="A110" s="31">
        <v>45987.0</v>
      </c>
      <c r="B110" s="10">
        <v>77.0</v>
      </c>
      <c r="C110" s="10">
        <v>23.0</v>
      </c>
      <c r="D110" s="10">
        <v>26.0</v>
      </c>
      <c r="E110" s="10">
        <v>17.0</v>
      </c>
      <c r="F110" s="10">
        <v>11.0</v>
      </c>
      <c r="G110" s="10">
        <v>9.0</v>
      </c>
      <c r="H110" s="11">
        <f t="shared" si="4"/>
        <v>2</v>
      </c>
      <c r="I110" s="10">
        <v>60.0</v>
      </c>
      <c r="J110" s="10">
        <v>39.0</v>
      </c>
      <c r="K110" s="10">
        <v>5.0</v>
      </c>
      <c r="L110" s="12">
        <v>3.0</v>
      </c>
      <c r="M110" s="10">
        <v>39.0</v>
      </c>
      <c r="N110" s="10">
        <v>9.0</v>
      </c>
      <c r="O110" s="10">
        <v>90.0</v>
      </c>
      <c r="P110" s="10">
        <v>5.0</v>
      </c>
      <c r="Q110" s="10">
        <v>40.0</v>
      </c>
      <c r="R110" s="10">
        <v>20.0</v>
      </c>
      <c r="S110" s="10">
        <v>38.0</v>
      </c>
      <c r="T110" s="10">
        <v>60.0</v>
      </c>
      <c r="U110" s="10">
        <v>40.0</v>
      </c>
      <c r="V110" s="7">
        <v>6.0</v>
      </c>
      <c r="W110" s="10">
        <v>4.0</v>
      </c>
      <c r="X110" s="15">
        <f t="shared" si="2"/>
        <v>0.1</v>
      </c>
      <c r="Y110" s="15">
        <f t="shared" si="3"/>
        <v>0.7</v>
      </c>
      <c r="Z110" s="15"/>
    </row>
    <row r="111">
      <c r="A111" s="31">
        <v>45988.0</v>
      </c>
      <c r="B111" s="10">
        <v>78.0</v>
      </c>
      <c r="C111" s="10">
        <v>22.0</v>
      </c>
      <c r="D111" s="10">
        <v>24.0</v>
      </c>
      <c r="E111" s="10">
        <v>15.0</v>
      </c>
      <c r="F111" s="10">
        <v>10.0</v>
      </c>
      <c r="G111" s="10">
        <v>11.0</v>
      </c>
      <c r="H111" s="11">
        <f t="shared" si="4"/>
        <v>-1</v>
      </c>
      <c r="I111" s="10">
        <v>57.0</v>
      </c>
      <c r="J111" s="10">
        <v>42.0</v>
      </c>
      <c r="K111" s="10">
        <v>4.0</v>
      </c>
      <c r="L111" s="12">
        <v>1.0</v>
      </c>
      <c r="M111" s="10">
        <v>35.0</v>
      </c>
      <c r="N111" s="10">
        <v>5.0</v>
      </c>
      <c r="O111" s="10">
        <v>90.0</v>
      </c>
      <c r="P111" s="10">
        <v>5.0</v>
      </c>
      <c r="Q111" s="10">
        <v>40.0</v>
      </c>
      <c r="R111" s="10">
        <v>20.0</v>
      </c>
      <c r="S111" s="10">
        <v>36.0</v>
      </c>
      <c r="T111" s="10">
        <v>60.0</v>
      </c>
      <c r="U111" s="10">
        <v>40.0</v>
      </c>
      <c r="V111" s="7">
        <v>4.0</v>
      </c>
      <c r="W111" s="10">
        <v>4.0</v>
      </c>
      <c r="X111" s="15">
        <f t="shared" si="2"/>
        <v>0.1</v>
      </c>
      <c r="Y111" s="15">
        <f t="shared" si="3"/>
        <v>0.7</v>
      </c>
      <c r="Z111" s="35"/>
    </row>
    <row r="112">
      <c r="A112" s="31">
        <v>45989.0</v>
      </c>
      <c r="B112" s="10">
        <v>71.0</v>
      </c>
      <c r="C112" s="10">
        <v>29.0</v>
      </c>
      <c r="D112" s="10">
        <v>29.0</v>
      </c>
      <c r="E112" s="10">
        <v>21.0</v>
      </c>
      <c r="F112" s="10">
        <v>13.0</v>
      </c>
      <c r="G112" s="10">
        <v>6.0</v>
      </c>
      <c r="H112" s="11">
        <f t="shared" si="4"/>
        <v>7</v>
      </c>
      <c r="I112" s="10">
        <v>55.0</v>
      </c>
      <c r="J112" s="10">
        <v>44.0</v>
      </c>
      <c r="K112" s="10">
        <v>4.0</v>
      </c>
      <c r="L112" s="12">
        <v>0.2</v>
      </c>
      <c r="M112" s="10">
        <v>37.0</v>
      </c>
      <c r="N112" s="10">
        <v>5.0</v>
      </c>
      <c r="O112" s="10">
        <v>90.0</v>
      </c>
      <c r="P112" s="10">
        <v>5.0</v>
      </c>
      <c r="Q112" s="10">
        <v>40.0</v>
      </c>
      <c r="R112" s="10">
        <v>20.0</v>
      </c>
      <c r="S112" s="10">
        <v>35.0</v>
      </c>
      <c r="T112" s="10">
        <v>60.0</v>
      </c>
      <c r="U112" s="10">
        <v>40.0</v>
      </c>
      <c r="V112" s="7">
        <v>4.0</v>
      </c>
      <c r="W112" s="10">
        <v>4.0</v>
      </c>
      <c r="X112" s="15">
        <f t="shared" si="2"/>
        <v>0.1</v>
      </c>
      <c r="Y112" s="15">
        <f t="shared" si="3"/>
        <v>0.7</v>
      </c>
      <c r="Z112" s="35"/>
    </row>
    <row r="113">
      <c r="A113" s="31">
        <v>45992.0</v>
      </c>
      <c r="B113" s="10">
        <v>66.0</v>
      </c>
      <c r="C113" s="10">
        <v>34.0</v>
      </c>
      <c r="D113" s="10">
        <v>28.0</v>
      </c>
      <c r="E113" s="10">
        <v>20.0</v>
      </c>
      <c r="F113" s="10">
        <v>10.0</v>
      </c>
      <c r="G113" s="10">
        <v>8.0</v>
      </c>
      <c r="H113" s="11">
        <f t="shared" si="4"/>
        <v>2</v>
      </c>
      <c r="I113" s="10">
        <v>55.0</v>
      </c>
      <c r="J113" s="10">
        <v>44.0</v>
      </c>
      <c r="K113" s="10">
        <v>3.0</v>
      </c>
      <c r="L113" s="12">
        <v>2.0</v>
      </c>
      <c r="M113" s="10">
        <v>33.0</v>
      </c>
      <c r="N113" s="10">
        <v>5.0</v>
      </c>
      <c r="O113" s="10">
        <v>90.0</v>
      </c>
      <c r="P113" s="10">
        <v>5.0</v>
      </c>
      <c r="Q113" s="10">
        <v>40.0</v>
      </c>
      <c r="R113" s="10">
        <v>20.0</v>
      </c>
      <c r="S113" s="10">
        <v>34.0</v>
      </c>
      <c r="T113" s="10">
        <v>60.0</v>
      </c>
      <c r="U113" s="10">
        <v>40.0</v>
      </c>
      <c r="V113" s="7">
        <v>4.0</v>
      </c>
      <c r="W113" s="10">
        <v>4.0</v>
      </c>
      <c r="X113" s="15">
        <f t="shared" si="2"/>
        <v>0.1</v>
      </c>
      <c r="Y113" s="15">
        <f t="shared" si="3"/>
        <v>0.7</v>
      </c>
      <c r="Z113" s="35"/>
    </row>
    <row r="114">
      <c r="A114" s="31">
        <v>45993.0</v>
      </c>
      <c r="B114" s="10">
        <v>59.0</v>
      </c>
      <c r="C114" s="10">
        <v>41.0</v>
      </c>
      <c r="D114" s="10">
        <v>25.0</v>
      </c>
      <c r="E114" s="10">
        <v>17.0</v>
      </c>
      <c r="F114" s="10">
        <v>17.0</v>
      </c>
      <c r="G114" s="10">
        <v>0.2</v>
      </c>
      <c r="H114" s="11">
        <f t="shared" si="4"/>
        <v>16.8</v>
      </c>
      <c r="I114" s="10">
        <v>57.0</v>
      </c>
      <c r="J114" s="10">
        <v>42.0</v>
      </c>
      <c r="K114" s="10">
        <v>4.1</v>
      </c>
      <c r="L114" s="12">
        <v>0.0</v>
      </c>
      <c r="M114" s="10">
        <v>34.0</v>
      </c>
      <c r="N114" s="10">
        <v>1.0</v>
      </c>
      <c r="O114" s="10">
        <v>90.0</v>
      </c>
      <c r="P114" s="10">
        <v>5.0</v>
      </c>
      <c r="Q114" s="10">
        <v>40.0</v>
      </c>
      <c r="R114" s="10">
        <v>20.0</v>
      </c>
      <c r="S114" s="10">
        <v>32.0</v>
      </c>
      <c r="T114" s="10">
        <v>60.0</v>
      </c>
      <c r="U114" s="10">
        <v>40.0</v>
      </c>
      <c r="V114" s="7">
        <v>6.0</v>
      </c>
      <c r="W114" s="10">
        <v>4.0</v>
      </c>
      <c r="X114" s="15">
        <f t="shared" si="2"/>
        <v>0</v>
      </c>
      <c r="Y114" s="15">
        <f t="shared" si="3"/>
        <v>0.85</v>
      </c>
      <c r="Z114" s="35"/>
    </row>
    <row r="115">
      <c r="A115" s="31">
        <v>45994.0</v>
      </c>
      <c r="B115" s="10">
        <v>59.0</v>
      </c>
      <c r="C115" s="10">
        <v>41.0</v>
      </c>
      <c r="D115" s="10">
        <v>17.0</v>
      </c>
      <c r="E115" s="10">
        <v>14.0</v>
      </c>
      <c r="F115" s="10">
        <v>10.0</v>
      </c>
      <c r="G115" s="10">
        <v>7.0</v>
      </c>
      <c r="H115" s="11">
        <f t="shared" si="4"/>
        <v>3</v>
      </c>
      <c r="I115" s="10">
        <v>59.0</v>
      </c>
      <c r="J115" s="10">
        <v>40.0</v>
      </c>
      <c r="K115" s="10">
        <v>4.1</v>
      </c>
      <c r="L115" s="12">
        <v>1.0</v>
      </c>
      <c r="M115" s="10">
        <v>39.0</v>
      </c>
      <c r="N115" s="10">
        <v>1.43</v>
      </c>
      <c r="O115" s="10">
        <v>90.0</v>
      </c>
      <c r="P115" s="10">
        <v>5.0</v>
      </c>
      <c r="Q115" s="10">
        <v>40.0</v>
      </c>
      <c r="R115" s="10">
        <v>20.0</v>
      </c>
      <c r="S115" s="10">
        <v>29.0</v>
      </c>
      <c r="T115" s="10">
        <v>60.0</v>
      </c>
      <c r="U115" s="10">
        <v>40.0</v>
      </c>
      <c r="V115" s="7">
        <v>4.0</v>
      </c>
      <c r="W115" s="10">
        <v>4.0</v>
      </c>
      <c r="X115" s="15">
        <f t="shared" si="2"/>
        <v>0</v>
      </c>
      <c r="Y115" s="15">
        <f t="shared" si="3"/>
        <v>0.7</v>
      </c>
      <c r="Z115" s="35"/>
    </row>
    <row r="116">
      <c r="A116" s="31">
        <v>45995.0</v>
      </c>
      <c r="B116" s="10">
        <v>59.0</v>
      </c>
      <c r="C116" s="10">
        <v>41.0</v>
      </c>
      <c r="D116" s="10">
        <v>20.0</v>
      </c>
      <c r="E116" s="10">
        <v>15.0</v>
      </c>
      <c r="F116" s="10">
        <v>17.0</v>
      </c>
      <c r="G116" s="10">
        <v>0.41</v>
      </c>
      <c r="H116" s="11">
        <f t="shared" si="4"/>
        <v>16.59</v>
      </c>
      <c r="I116" s="10">
        <v>61.0</v>
      </c>
      <c r="J116" s="10">
        <v>39.0</v>
      </c>
      <c r="K116" s="10">
        <v>6.0</v>
      </c>
      <c r="L116" s="12">
        <v>0.41</v>
      </c>
      <c r="M116" s="10">
        <v>35.0</v>
      </c>
      <c r="N116" s="10">
        <v>7.0</v>
      </c>
      <c r="O116" s="10">
        <v>90.0</v>
      </c>
      <c r="P116" s="10">
        <v>5.0</v>
      </c>
      <c r="Q116" s="10">
        <v>40.0</v>
      </c>
      <c r="R116" s="10">
        <v>20.0</v>
      </c>
      <c r="S116" s="10">
        <v>28.0</v>
      </c>
      <c r="T116" s="10">
        <v>60.0</v>
      </c>
      <c r="U116" s="10">
        <v>40.0</v>
      </c>
      <c r="V116" s="7">
        <v>7.0</v>
      </c>
      <c r="W116" s="10">
        <v>4.0</v>
      </c>
      <c r="X116" s="15">
        <f t="shared" si="2"/>
        <v>0.1</v>
      </c>
      <c r="Y116" s="15">
        <f t="shared" si="3"/>
        <v>0.85</v>
      </c>
      <c r="Z116" s="35"/>
    </row>
    <row r="117">
      <c r="A117" s="31">
        <v>45996.0</v>
      </c>
      <c r="B117" s="10">
        <v>64.0</v>
      </c>
      <c r="C117" s="10">
        <v>36.0</v>
      </c>
      <c r="D117" s="10">
        <v>28.0</v>
      </c>
      <c r="E117" s="10">
        <v>20.0</v>
      </c>
      <c r="F117" s="10">
        <v>16.0</v>
      </c>
      <c r="G117" s="10">
        <v>0.41</v>
      </c>
      <c r="H117" s="11">
        <f t="shared" si="4"/>
        <v>15.59</v>
      </c>
      <c r="I117" s="10">
        <v>60.0</v>
      </c>
      <c r="J117" s="10">
        <v>39.0</v>
      </c>
      <c r="K117" s="10">
        <v>4.0</v>
      </c>
      <c r="L117" s="12">
        <v>0.41</v>
      </c>
      <c r="M117" s="10">
        <v>32.0</v>
      </c>
      <c r="N117" s="10">
        <v>3.0</v>
      </c>
      <c r="O117" s="10">
        <v>90.0</v>
      </c>
      <c r="P117" s="10">
        <v>5.0</v>
      </c>
      <c r="Q117" s="10">
        <v>40.0</v>
      </c>
      <c r="R117" s="10">
        <v>20.0</v>
      </c>
      <c r="S117" s="10">
        <v>29.0</v>
      </c>
      <c r="T117" s="10">
        <v>60.0</v>
      </c>
      <c r="U117" s="10">
        <v>40.0</v>
      </c>
      <c r="V117" s="7">
        <v>6.0</v>
      </c>
      <c r="W117" s="10">
        <v>4.0</v>
      </c>
      <c r="X117" s="15">
        <f t="shared" si="2"/>
        <v>0</v>
      </c>
      <c r="Y117" s="15">
        <f t="shared" si="3"/>
        <v>0.85</v>
      </c>
      <c r="Z117" s="35"/>
    </row>
    <row r="118">
      <c r="A118" s="31">
        <v>45999.0</v>
      </c>
      <c r="B118" s="10">
        <v>61.0</v>
      </c>
      <c r="C118" s="10">
        <v>39.0</v>
      </c>
      <c r="D118" s="10">
        <v>15.0</v>
      </c>
      <c r="E118" s="10">
        <v>8.0</v>
      </c>
      <c r="F118" s="10">
        <v>19.0</v>
      </c>
      <c r="G118" s="10">
        <v>0.2</v>
      </c>
      <c r="H118" s="11">
        <f t="shared" si="4"/>
        <v>18.8</v>
      </c>
      <c r="I118" s="10">
        <v>60.0</v>
      </c>
      <c r="J118" s="10">
        <v>38.0</v>
      </c>
      <c r="K118" s="10">
        <v>5.0</v>
      </c>
      <c r="L118" s="12">
        <v>0.2</v>
      </c>
      <c r="M118" s="10">
        <v>39.0</v>
      </c>
      <c r="N118" s="10">
        <v>3.0</v>
      </c>
      <c r="O118" s="10">
        <v>90.0</v>
      </c>
      <c r="P118" s="10">
        <v>5.0</v>
      </c>
      <c r="Q118" s="10">
        <v>40.0</v>
      </c>
      <c r="R118" s="10">
        <v>20.0</v>
      </c>
      <c r="S118" s="10">
        <v>18.0</v>
      </c>
      <c r="T118" s="10">
        <v>60.0</v>
      </c>
      <c r="U118" s="10">
        <v>40.0</v>
      </c>
      <c r="V118" s="7">
        <v>7.0</v>
      </c>
      <c r="W118" s="10">
        <v>4.0</v>
      </c>
      <c r="X118" s="15">
        <f t="shared" si="2"/>
        <v>0</v>
      </c>
      <c r="Y118" s="15">
        <f t="shared" si="3"/>
        <v>0.85</v>
      </c>
      <c r="Z118" s="35"/>
    </row>
    <row r="119">
      <c r="A119" s="31">
        <v>46000.0</v>
      </c>
      <c r="B119" s="10">
        <v>62.0</v>
      </c>
      <c r="C119" s="10">
        <v>38.0</v>
      </c>
      <c r="D119" s="10">
        <v>15.0</v>
      </c>
      <c r="E119" s="10">
        <v>8.0</v>
      </c>
      <c r="F119" s="10">
        <v>22.0</v>
      </c>
      <c r="G119" s="10">
        <v>0.2</v>
      </c>
      <c r="H119" s="11">
        <f t="shared" si="4"/>
        <v>21.8</v>
      </c>
      <c r="I119" s="10">
        <v>60.0</v>
      </c>
      <c r="J119" s="10">
        <v>39.0</v>
      </c>
      <c r="K119" s="10">
        <v>7.0</v>
      </c>
      <c r="L119" s="12">
        <v>0.2</v>
      </c>
      <c r="M119" s="10">
        <v>39.0</v>
      </c>
      <c r="N119" s="10">
        <v>2.0</v>
      </c>
      <c r="O119" s="10">
        <v>90.0</v>
      </c>
      <c r="P119" s="10">
        <v>5.0</v>
      </c>
      <c r="Q119" s="10">
        <v>40.0</v>
      </c>
      <c r="R119" s="10">
        <v>20.0</v>
      </c>
      <c r="S119" s="10">
        <v>20.0</v>
      </c>
      <c r="T119" s="10">
        <v>60.0</v>
      </c>
      <c r="U119" s="10">
        <v>40.0</v>
      </c>
      <c r="V119" s="7">
        <v>6.0</v>
      </c>
      <c r="W119" s="10">
        <v>4.0</v>
      </c>
      <c r="X119" s="15">
        <f t="shared" si="2"/>
        <v>0</v>
      </c>
      <c r="Y119" s="15">
        <f t="shared" si="3"/>
        <v>0.85</v>
      </c>
      <c r="Z119" s="35"/>
    </row>
    <row r="120">
      <c r="A120" s="31">
        <v>46001.0</v>
      </c>
      <c r="B120" s="10">
        <v>73.0</v>
      </c>
      <c r="C120" s="10">
        <v>27.0</v>
      </c>
      <c r="D120" s="10">
        <v>17.0</v>
      </c>
      <c r="E120" s="10">
        <v>8.0</v>
      </c>
      <c r="F120" s="10">
        <v>17.0</v>
      </c>
      <c r="G120" s="10">
        <v>0.2</v>
      </c>
      <c r="H120" s="11">
        <f t="shared" si="4"/>
        <v>16.8</v>
      </c>
      <c r="I120" s="10">
        <v>61.0</v>
      </c>
      <c r="J120" s="10">
        <v>37.0</v>
      </c>
      <c r="K120" s="10">
        <v>6.0</v>
      </c>
      <c r="L120" s="12">
        <v>0.82</v>
      </c>
      <c r="M120" s="10">
        <v>39.0</v>
      </c>
      <c r="N120" s="10">
        <v>5.0</v>
      </c>
      <c r="O120" s="10">
        <v>90.0</v>
      </c>
      <c r="P120" s="10">
        <v>5.0</v>
      </c>
      <c r="Q120" s="10">
        <v>40.0</v>
      </c>
      <c r="R120" s="10">
        <v>20.0</v>
      </c>
      <c r="S120" s="10">
        <v>18.0</v>
      </c>
      <c r="T120" s="10">
        <v>60.0</v>
      </c>
      <c r="U120" s="10">
        <v>40.0</v>
      </c>
      <c r="V120" s="7">
        <v>6.0</v>
      </c>
      <c r="W120" s="10">
        <v>4.0</v>
      </c>
      <c r="X120" s="15">
        <f t="shared" si="2"/>
        <v>0.1</v>
      </c>
      <c r="Y120" s="15">
        <f t="shared" si="3"/>
        <v>1</v>
      </c>
      <c r="Z120" s="35"/>
    </row>
    <row r="121">
      <c r="A121" s="31">
        <v>46002.0</v>
      </c>
      <c r="B121" s="10">
        <v>73.0</v>
      </c>
      <c r="C121" s="10">
        <v>27.0</v>
      </c>
      <c r="D121" s="10">
        <v>18.0</v>
      </c>
      <c r="E121" s="10">
        <v>17.0</v>
      </c>
      <c r="F121" s="10">
        <v>17.0</v>
      </c>
      <c r="G121" s="10">
        <v>0.3</v>
      </c>
      <c r="H121" s="11">
        <f t="shared" si="4"/>
        <v>16.7</v>
      </c>
      <c r="I121" s="10">
        <v>65.0</v>
      </c>
      <c r="J121" s="10">
        <v>34.0</v>
      </c>
      <c r="K121" s="10">
        <v>7.0</v>
      </c>
      <c r="L121" s="12">
        <v>0.61</v>
      </c>
      <c r="M121" s="10">
        <v>41.0</v>
      </c>
      <c r="N121" s="10">
        <v>9.0</v>
      </c>
      <c r="O121" s="10">
        <v>90.0</v>
      </c>
      <c r="P121" s="10">
        <v>5.0</v>
      </c>
      <c r="Q121" s="10">
        <v>40.0</v>
      </c>
      <c r="R121" s="10">
        <v>20.0</v>
      </c>
      <c r="S121" s="10">
        <v>18.0</v>
      </c>
      <c r="T121" s="10">
        <v>60.0</v>
      </c>
      <c r="U121" s="10">
        <v>40.0</v>
      </c>
      <c r="V121" s="7">
        <v>6.0</v>
      </c>
      <c r="W121" s="10">
        <v>4.0</v>
      </c>
      <c r="X121" s="15">
        <f t="shared" si="2"/>
        <v>0.1</v>
      </c>
      <c r="Y121" s="15">
        <f t="shared" si="3"/>
        <v>0.85</v>
      </c>
      <c r="Z121" s="35"/>
    </row>
    <row r="122">
      <c r="A122" s="31">
        <v>46003.0</v>
      </c>
      <c r="B122" s="10">
        <v>82.0</v>
      </c>
      <c r="C122" s="10">
        <v>18.0</v>
      </c>
      <c r="D122" s="10">
        <v>18.0</v>
      </c>
      <c r="E122" s="10">
        <v>17.0</v>
      </c>
      <c r="F122" s="10">
        <v>16.0</v>
      </c>
      <c r="G122" s="10">
        <v>0.2</v>
      </c>
      <c r="H122" s="11">
        <f t="shared" si="4"/>
        <v>15.8</v>
      </c>
      <c r="I122" s="10">
        <v>57.0</v>
      </c>
      <c r="J122" s="10">
        <v>43.0</v>
      </c>
      <c r="K122" s="10">
        <v>0.82</v>
      </c>
      <c r="L122" s="12">
        <v>0.0</v>
      </c>
      <c r="M122" s="10">
        <v>21.0</v>
      </c>
      <c r="N122" s="10">
        <v>5.0</v>
      </c>
      <c r="O122" s="10">
        <v>90.0</v>
      </c>
      <c r="P122" s="10">
        <v>5.0</v>
      </c>
      <c r="Q122" s="10">
        <v>40.0</v>
      </c>
      <c r="R122" s="10">
        <v>20.0</v>
      </c>
      <c r="S122" s="10">
        <v>30.0</v>
      </c>
      <c r="T122" s="10">
        <v>60.0</v>
      </c>
      <c r="U122" s="10">
        <v>40.0</v>
      </c>
      <c r="V122" s="7">
        <v>6.0</v>
      </c>
      <c r="W122" s="10">
        <v>4.0</v>
      </c>
      <c r="X122" s="15">
        <f t="shared" si="2"/>
        <v>0.1</v>
      </c>
      <c r="Y122" s="15">
        <f t="shared" si="3"/>
        <v>0.85</v>
      </c>
      <c r="Z122" s="35"/>
    </row>
    <row r="123">
      <c r="A123" s="31">
        <v>46006.0</v>
      </c>
      <c r="B123" s="10">
        <v>75.0</v>
      </c>
      <c r="C123" s="10">
        <v>25.0</v>
      </c>
      <c r="D123" s="10">
        <v>18.0</v>
      </c>
      <c r="E123" s="10">
        <v>17.0</v>
      </c>
      <c r="F123" s="10">
        <v>17.0</v>
      </c>
      <c r="G123" s="10">
        <v>0.2</v>
      </c>
      <c r="H123" s="11">
        <f t="shared" si="4"/>
        <v>16.8</v>
      </c>
      <c r="I123" s="10">
        <v>58.0</v>
      </c>
      <c r="J123" s="10">
        <v>40.0</v>
      </c>
      <c r="K123" s="10">
        <v>0.82</v>
      </c>
      <c r="L123" s="12">
        <v>0.0</v>
      </c>
      <c r="M123" s="10">
        <v>23.0</v>
      </c>
      <c r="N123" s="10">
        <v>4.0</v>
      </c>
      <c r="O123" s="10">
        <v>90.0</v>
      </c>
      <c r="P123" s="10">
        <v>5.0</v>
      </c>
      <c r="Q123" s="10">
        <v>40.0</v>
      </c>
      <c r="R123" s="10">
        <v>20.0</v>
      </c>
      <c r="S123" s="10">
        <v>32.0</v>
      </c>
      <c r="T123" s="10">
        <v>60.0</v>
      </c>
      <c r="U123" s="10">
        <v>40.0</v>
      </c>
      <c r="V123" s="7">
        <v>6.0</v>
      </c>
      <c r="W123" s="10">
        <v>4.0</v>
      </c>
      <c r="X123" s="15">
        <f t="shared" si="2"/>
        <v>0</v>
      </c>
      <c r="Y123" s="15">
        <f t="shared" si="3"/>
        <v>0.85</v>
      </c>
      <c r="Z123" s="35"/>
    </row>
    <row r="124">
      <c r="A124" s="31">
        <v>46007.0</v>
      </c>
      <c r="B124" s="10">
        <v>64.0</v>
      </c>
      <c r="C124" s="10">
        <v>36.0</v>
      </c>
      <c r="D124" s="10">
        <v>18.0</v>
      </c>
      <c r="E124" s="10">
        <v>17.0</v>
      </c>
      <c r="F124" s="10">
        <v>16.0</v>
      </c>
      <c r="G124" s="10">
        <v>0.2</v>
      </c>
      <c r="H124" s="11">
        <f t="shared" si="4"/>
        <v>15.8</v>
      </c>
      <c r="I124" s="10">
        <v>58.0</v>
      </c>
      <c r="J124" s="10">
        <v>40.0</v>
      </c>
      <c r="K124" s="10">
        <v>0.61</v>
      </c>
      <c r="L124" s="12">
        <v>0.0</v>
      </c>
      <c r="M124" s="10">
        <v>22.0</v>
      </c>
      <c r="N124" s="10">
        <v>3.0</v>
      </c>
      <c r="O124" s="10">
        <v>90.0</v>
      </c>
      <c r="P124" s="10">
        <v>5.0</v>
      </c>
      <c r="Q124" s="10">
        <v>40.0</v>
      </c>
      <c r="R124" s="10">
        <v>20.0</v>
      </c>
      <c r="S124" s="10">
        <v>26.0</v>
      </c>
      <c r="T124" s="10">
        <v>60.0</v>
      </c>
      <c r="U124" s="10">
        <v>40.0</v>
      </c>
      <c r="V124" s="7">
        <v>6.0</v>
      </c>
      <c r="W124" s="10">
        <v>4.0</v>
      </c>
      <c r="X124" s="15">
        <f t="shared" si="2"/>
        <v>0</v>
      </c>
      <c r="Y124" s="15">
        <f t="shared" si="3"/>
        <v>0.85</v>
      </c>
      <c r="Z124" s="35"/>
    </row>
    <row r="125">
      <c r="A125" s="31">
        <v>46008.0</v>
      </c>
      <c r="B125" s="10">
        <v>53.0</v>
      </c>
      <c r="C125" s="10">
        <v>47.0</v>
      </c>
      <c r="D125" s="10">
        <v>18.0</v>
      </c>
      <c r="E125" s="10">
        <v>17.0</v>
      </c>
      <c r="F125" s="10">
        <v>15.0</v>
      </c>
      <c r="G125" s="10">
        <v>0.3</v>
      </c>
      <c r="H125" s="11">
        <f t="shared" si="4"/>
        <v>14.7</v>
      </c>
      <c r="I125" s="10">
        <v>60.0</v>
      </c>
      <c r="J125" s="10">
        <v>39.0</v>
      </c>
      <c r="K125" s="10">
        <v>1.23</v>
      </c>
      <c r="L125" s="12">
        <v>0.0</v>
      </c>
      <c r="M125" s="10">
        <v>24.0</v>
      </c>
      <c r="N125" s="10">
        <v>3.0</v>
      </c>
      <c r="O125" s="10">
        <v>90.0</v>
      </c>
      <c r="P125" s="10">
        <v>5.0</v>
      </c>
      <c r="Q125" s="10">
        <v>40.0</v>
      </c>
      <c r="R125" s="10">
        <v>20.0</v>
      </c>
      <c r="S125" s="10">
        <v>23.0</v>
      </c>
      <c r="T125" s="10">
        <v>60.0</v>
      </c>
      <c r="U125" s="10">
        <v>40.0</v>
      </c>
      <c r="V125" s="7">
        <v>6.0</v>
      </c>
      <c r="W125" s="10">
        <v>4.0</v>
      </c>
      <c r="X125" s="15">
        <f t="shared" si="2"/>
        <v>0</v>
      </c>
      <c r="Y125" s="15">
        <f t="shared" si="3"/>
        <v>0.7</v>
      </c>
      <c r="Z125" s="35"/>
    </row>
    <row r="126">
      <c r="A126" s="31">
        <v>46009.0</v>
      </c>
      <c r="B126" s="10">
        <v>52.0</v>
      </c>
      <c r="C126" s="10">
        <v>48.0</v>
      </c>
      <c r="D126" s="10">
        <v>18.0</v>
      </c>
      <c r="E126" s="10">
        <v>17.0</v>
      </c>
      <c r="F126" s="10">
        <v>14.0</v>
      </c>
      <c r="G126" s="10">
        <v>0.2</v>
      </c>
      <c r="H126" s="11">
        <f t="shared" si="4"/>
        <v>13.8</v>
      </c>
      <c r="I126" s="10">
        <v>60.0</v>
      </c>
      <c r="J126" s="10">
        <v>39.0</v>
      </c>
      <c r="K126" s="10">
        <v>0.61</v>
      </c>
      <c r="L126" s="12">
        <v>0.0</v>
      </c>
      <c r="M126" s="10">
        <v>24.0</v>
      </c>
      <c r="N126" s="10">
        <v>3.0</v>
      </c>
      <c r="O126" s="10">
        <v>90.0</v>
      </c>
      <c r="P126" s="10">
        <v>5.0</v>
      </c>
      <c r="Q126" s="10">
        <v>40.0</v>
      </c>
      <c r="R126" s="10">
        <v>20.0</v>
      </c>
      <c r="S126" s="10">
        <v>22.0</v>
      </c>
      <c r="T126" s="10">
        <v>60.0</v>
      </c>
      <c r="U126" s="10">
        <v>40.0</v>
      </c>
      <c r="V126" s="7">
        <v>5.0</v>
      </c>
      <c r="W126" s="10">
        <v>4.0</v>
      </c>
      <c r="X126" s="15">
        <f t="shared" si="2"/>
        <v>0</v>
      </c>
      <c r="Y126" s="15">
        <f t="shared" si="3"/>
        <v>0.7</v>
      </c>
      <c r="Z126" s="35"/>
    </row>
    <row r="127">
      <c r="A127" s="31">
        <v>46010.0</v>
      </c>
      <c r="B127" s="10">
        <v>63.0</v>
      </c>
      <c r="C127" s="10">
        <v>37.0</v>
      </c>
      <c r="D127" s="10">
        <v>18.0</v>
      </c>
      <c r="E127" s="10">
        <v>17.0</v>
      </c>
      <c r="F127" s="10">
        <v>12.0</v>
      </c>
      <c r="G127" s="10">
        <v>2.0</v>
      </c>
      <c r="H127" s="11">
        <f t="shared" si="4"/>
        <v>10</v>
      </c>
      <c r="I127" s="10">
        <v>59.0</v>
      </c>
      <c r="J127" s="10">
        <v>40.0</v>
      </c>
      <c r="K127" s="10">
        <v>0.61</v>
      </c>
      <c r="L127" s="12">
        <v>0.0</v>
      </c>
      <c r="M127" s="10">
        <v>22.0</v>
      </c>
      <c r="N127" s="10">
        <v>4.0</v>
      </c>
      <c r="O127" s="10">
        <v>90.0</v>
      </c>
      <c r="P127" s="10">
        <v>5.0</v>
      </c>
      <c r="Q127" s="10">
        <v>40.0</v>
      </c>
      <c r="R127" s="10">
        <v>20.0</v>
      </c>
      <c r="S127" s="10">
        <v>31.0</v>
      </c>
      <c r="T127" s="10">
        <v>60.0</v>
      </c>
      <c r="U127" s="10">
        <v>40.0</v>
      </c>
      <c r="V127" s="7">
        <v>5.0</v>
      </c>
      <c r="W127" s="10">
        <v>4.0</v>
      </c>
      <c r="X127" s="15">
        <f t="shared" si="2"/>
        <v>0</v>
      </c>
      <c r="Y127" s="15">
        <f t="shared" si="3"/>
        <v>0.7</v>
      </c>
      <c r="Z127" s="35"/>
    </row>
    <row r="128">
      <c r="A128" s="31">
        <v>46013.0</v>
      </c>
      <c r="B128" s="10">
        <v>69.0</v>
      </c>
      <c r="C128" s="10">
        <v>31.0</v>
      </c>
      <c r="D128" s="10">
        <v>18.0</v>
      </c>
      <c r="E128" s="10">
        <v>17.0</v>
      </c>
      <c r="F128" s="10">
        <v>17.0</v>
      </c>
      <c r="G128" s="10">
        <v>1.0</v>
      </c>
      <c r="H128" s="11">
        <f t="shared" si="4"/>
        <v>16</v>
      </c>
      <c r="I128" s="10">
        <v>56.0</v>
      </c>
      <c r="J128" s="10">
        <v>42.0</v>
      </c>
      <c r="K128" s="10">
        <v>0.41</v>
      </c>
      <c r="L128" s="12">
        <v>0.0</v>
      </c>
      <c r="M128" s="10">
        <v>20.0</v>
      </c>
      <c r="N128" s="10">
        <v>5.0</v>
      </c>
      <c r="O128" s="10">
        <v>90.0</v>
      </c>
      <c r="P128" s="10">
        <v>5.0</v>
      </c>
      <c r="Q128" s="10">
        <v>40.0</v>
      </c>
      <c r="R128" s="10">
        <v>20.0</v>
      </c>
      <c r="S128" s="10">
        <v>38.0</v>
      </c>
      <c r="T128" s="10">
        <v>60.0</v>
      </c>
      <c r="U128" s="10">
        <v>40.0</v>
      </c>
      <c r="V128" s="7">
        <v>6.0</v>
      </c>
      <c r="W128" s="10">
        <v>4.0</v>
      </c>
      <c r="X128" s="15">
        <f t="shared" si="2"/>
        <v>0.1</v>
      </c>
      <c r="Y128" s="15">
        <f t="shared" si="3"/>
        <v>0.85</v>
      </c>
      <c r="Z128" s="35"/>
    </row>
    <row r="129">
      <c r="A129" s="31">
        <v>46014.0</v>
      </c>
      <c r="B129" s="10">
        <v>67.0</v>
      </c>
      <c r="C129" s="10">
        <v>33.0</v>
      </c>
      <c r="D129" s="10">
        <v>18.0</v>
      </c>
      <c r="E129" s="10">
        <v>17.0</v>
      </c>
      <c r="F129" s="10">
        <v>20.0</v>
      </c>
      <c r="G129" s="10">
        <v>0.0</v>
      </c>
      <c r="H129" s="11">
        <f t="shared" si="4"/>
        <v>20</v>
      </c>
      <c r="I129" s="10">
        <v>55.0</v>
      </c>
      <c r="J129" s="10">
        <v>43.0</v>
      </c>
      <c r="K129" s="10">
        <v>1.0</v>
      </c>
      <c r="L129" s="12">
        <v>0.0</v>
      </c>
      <c r="M129" s="10">
        <v>16.0</v>
      </c>
      <c r="N129" s="10">
        <v>5.0</v>
      </c>
      <c r="O129" s="10">
        <v>90.0</v>
      </c>
      <c r="P129" s="10">
        <v>5.0</v>
      </c>
      <c r="Q129" s="10">
        <v>40.0</v>
      </c>
      <c r="R129" s="10">
        <v>20.0</v>
      </c>
      <c r="S129" s="10">
        <v>44.0</v>
      </c>
      <c r="T129" s="10">
        <v>60.0</v>
      </c>
      <c r="U129" s="10">
        <v>40.0</v>
      </c>
      <c r="V129" s="7">
        <v>5.0</v>
      </c>
      <c r="W129" s="10">
        <v>4.0</v>
      </c>
      <c r="X129" s="15">
        <f t="shared" si="2"/>
        <v>0.1</v>
      </c>
      <c r="Y129" s="15">
        <f t="shared" si="3"/>
        <v>0.7</v>
      </c>
      <c r="Z129" s="35"/>
    </row>
    <row r="130">
      <c r="A130" s="31">
        <v>46015.0</v>
      </c>
      <c r="B130" s="10">
        <v>54.0</v>
      </c>
      <c r="C130" s="10">
        <v>46.0</v>
      </c>
      <c r="D130" s="10">
        <v>18.0</v>
      </c>
      <c r="E130" s="10">
        <v>17.0</v>
      </c>
      <c r="F130" s="10">
        <v>19.0</v>
      </c>
      <c r="G130" s="10">
        <v>0.0</v>
      </c>
      <c r="H130" s="11">
        <f t="shared" si="4"/>
        <v>19</v>
      </c>
      <c r="I130" s="10">
        <v>53.0</v>
      </c>
      <c r="J130" s="10">
        <v>46.0</v>
      </c>
      <c r="K130" s="10">
        <v>0.61</v>
      </c>
      <c r="L130" s="12">
        <v>0.0</v>
      </c>
      <c r="M130" s="10">
        <v>18.0</v>
      </c>
      <c r="N130" s="10">
        <v>5.0</v>
      </c>
      <c r="O130" s="10">
        <v>90.0</v>
      </c>
      <c r="P130" s="10">
        <v>5.0</v>
      </c>
      <c r="Q130" s="10">
        <v>40.0</v>
      </c>
      <c r="R130" s="10">
        <v>20.0</v>
      </c>
      <c r="S130" s="10">
        <v>43.0</v>
      </c>
      <c r="T130" s="10">
        <v>60.0</v>
      </c>
      <c r="U130" s="10">
        <v>40.0</v>
      </c>
      <c r="V130" s="7">
        <v>5.0</v>
      </c>
      <c r="W130" s="10">
        <v>4.0</v>
      </c>
      <c r="X130" s="15">
        <f t="shared" si="2"/>
        <v>0.1</v>
      </c>
      <c r="Y130" s="15">
        <f t="shared" si="3"/>
        <v>0.7</v>
      </c>
      <c r="Z130" s="35"/>
    </row>
    <row r="131">
      <c r="A131" s="31">
        <v>46017.0</v>
      </c>
      <c r="B131" s="10">
        <v>43.0</v>
      </c>
      <c r="C131" s="10">
        <v>57.0</v>
      </c>
      <c r="D131" s="10">
        <v>18.0</v>
      </c>
      <c r="E131" s="10">
        <v>17.0</v>
      </c>
      <c r="F131" s="10">
        <v>18.0</v>
      </c>
      <c r="G131" s="10">
        <v>3.0</v>
      </c>
      <c r="H131" s="11">
        <f t="shared" si="4"/>
        <v>15</v>
      </c>
      <c r="I131" s="10">
        <v>54.0</v>
      </c>
      <c r="J131" s="10">
        <v>46.0</v>
      </c>
      <c r="K131" s="10">
        <v>1.23</v>
      </c>
      <c r="L131" s="12">
        <v>0.0</v>
      </c>
      <c r="M131" s="10">
        <v>20.0</v>
      </c>
      <c r="N131" s="10">
        <v>4.0</v>
      </c>
      <c r="O131" s="10">
        <v>90.0</v>
      </c>
      <c r="P131" s="10">
        <v>5.0</v>
      </c>
      <c r="Q131" s="10">
        <v>40.0</v>
      </c>
      <c r="R131" s="10">
        <v>20.0</v>
      </c>
      <c r="S131" s="10">
        <v>38.0</v>
      </c>
      <c r="T131" s="10">
        <v>60.0</v>
      </c>
      <c r="U131" s="10">
        <v>40.0</v>
      </c>
      <c r="V131" s="7">
        <v>5.0</v>
      </c>
      <c r="W131" s="10">
        <v>4.0</v>
      </c>
      <c r="X131" s="15">
        <f t="shared" si="2"/>
        <v>0</v>
      </c>
      <c r="Y131" s="15">
        <f t="shared" si="3"/>
        <v>0.85</v>
      </c>
      <c r="Z131" s="35"/>
    </row>
    <row r="132">
      <c r="A132" s="31">
        <v>46020.0</v>
      </c>
      <c r="B132" s="10">
        <v>38.0</v>
      </c>
      <c r="C132" s="10">
        <v>62.0</v>
      </c>
      <c r="D132" s="10">
        <v>18.0</v>
      </c>
      <c r="E132" s="10">
        <v>17.0</v>
      </c>
      <c r="F132" s="10">
        <v>16.0</v>
      </c>
      <c r="G132" s="10">
        <v>4.0</v>
      </c>
      <c r="H132" s="11">
        <f t="shared" si="4"/>
        <v>12</v>
      </c>
      <c r="I132" s="10">
        <v>56.0</v>
      </c>
      <c r="J132" s="10">
        <v>42.0</v>
      </c>
      <c r="K132" s="10">
        <v>0.61</v>
      </c>
      <c r="L132" s="12">
        <v>0.0</v>
      </c>
      <c r="M132" s="10">
        <v>22.0</v>
      </c>
      <c r="N132" s="10">
        <v>5.0</v>
      </c>
      <c r="O132" s="10">
        <v>90.0</v>
      </c>
      <c r="P132" s="10">
        <v>5.0</v>
      </c>
      <c r="Q132" s="10">
        <v>40.0</v>
      </c>
      <c r="R132" s="10">
        <v>20.0</v>
      </c>
      <c r="S132" s="10">
        <v>33.0</v>
      </c>
      <c r="T132" s="10">
        <v>60.0</v>
      </c>
      <c r="U132" s="10">
        <v>40.0</v>
      </c>
      <c r="V132" s="7">
        <v>5.0</v>
      </c>
      <c r="W132" s="10">
        <v>4.0</v>
      </c>
      <c r="X132" s="15">
        <f t="shared" si="2"/>
        <v>0.1</v>
      </c>
      <c r="Y132" s="15">
        <f t="shared" si="3"/>
        <v>0.85</v>
      </c>
      <c r="Z132" s="35"/>
    </row>
    <row r="133">
      <c r="A133" s="31">
        <v>46021.0</v>
      </c>
      <c r="B133" s="10">
        <v>38.0</v>
      </c>
      <c r="C133" s="10">
        <v>62.0</v>
      </c>
      <c r="D133" s="10">
        <v>18.0</v>
      </c>
      <c r="E133" s="10">
        <v>17.0</v>
      </c>
      <c r="F133" s="10">
        <v>15.0</v>
      </c>
      <c r="G133" s="10">
        <v>6.0</v>
      </c>
      <c r="H133" s="11">
        <f t="shared" si="4"/>
        <v>9</v>
      </c>
      <c r="I133" s="10">
        <v>56.0</v>
      </c>
      <c r="J133" s="10">
        <v>44.0</v>
      </c>
      <c r="K133" s="10">
        <v>0.61</v>
      </c>
      <c r="L133" s="12">
        <v>0.0</v>
      </c>
      <c r="M133" s="10">
        <v>20.0</v>
      </c>
      <c r="N133" s="10">
        <v>4.0</v>
      </c>
      <c r="O133" s="10">
        <v>90.0</v>
      </c>
      <c r="P133" s="10">
        <v>5.0</v>
      </c>
      <c r="Q133" s="10">
        <v>40.0</v>
      </c>
      <c r="R133" s="10">
        <v>20.0</v>
      </c>
      <c r="S133" s="10">
        <v>33.0</v>
      </c>
      <c r="T133" s="10">
        <v>60.0</v>
      </c>
      <c r="U133" s="10">
        <v>40.0</v>
      </c>
      <c r="V133" s="7">
        <v>4.0</v>
      </c>
      <c r="W133" s="10">
        <v>4.0</v>
      </c>
      <c r="X133" s="15">
        <f t="shared" si="2"/>
        <v>0</v>
      </c>
      <c r="Y133" s="15">
        <f t="shared" si="3"/>
        <v>0.7</v>
      </c>
      <c r="Z133" s="35"/>
    </row>
    <row r="134">
      <c r="A134" s="31">
        <v>46022.0</v>
      </c>
      <c r="B134" s="10">
        <v>55.0</v>
      </c>
      <c r="C134" s="10">
        <v>45.0</v>
      </c>
      <c r="D134" s="10">
        <v>18.0</v>
      </c>
      <c r="E134" s="10">
        <v>17.0</v>
      </c>
      <c r="F134" s="10">
        <v>25.0</v>
      </c>
      <c r="G134" s="10">
        <v>7.0</v>
      </c>
      <c r="H134" s="11">
        <f t="shared" si="4"/>
        <v>18</v>
      </c>
      <c r="I134" s="10">
        <v>52.0</v>
      </c>
      <c r="J134" s="10">
        <v>47.0</v>
      </c>
      <c r="K134" s="10">
        <v>0.41</v>
      </c>
      <c r="L134" s="12">
        <v>0.0</v>
      </c>
      <c r="M134" s="10">
        <v>18.0</v>
      </c>
      <c r="N134" s="10">
        <v>4.0</v>
      </c>
      <c r="O134" s="10">
        <v>90.0</v>
      </c>
      <c r="P134" s="10">
        <v>5.0</v>
      </c>
      <c r="Q134" s="10">
        <v>40.0</v>
      </c>
      <c r="R134" s="10">
        <v>20.0</v>
      </c>
      <c r="S134" s="10">
        <v>44.0</v>
      </c>
      <c r="T134" s="10">
        <v>60.0</v>
      </c>
      <c r="U134" s="10">
        <v>40.0</v>
      </c>
      <c r="V134" s="7">
        <v>5.0</v>
      </c>
      <c r="W134" s="10">
        <v>4.0</v>
      </c>
      <c r="X134" s="15">
        <f t="shared" si="2"/>
        <v>0</v>
      </c>
      <c r="Y134" s="15">
        <f t="shared" si="3"/>
        <v>0.7</v>
      </c>
      <c r="Z134" s="35"/>
    </row>
    <row r="135">
      <c r="A135" s="31">
        <v>46023.0</v>
      </c>
      <c r="B135" s="10">
        <v>61.0</v>
      </c>
      <c r="C135" s="10">
        <v>39.0</v>
      </c>
      <c r="D135" s="10">
        <v>18.0</v>
      </c>
      <c r="E135" s="10">
        <v>17.0</v>
      </c>
      <c r="F135" s="10">
        <v>20.0</v>
      </c>
      <c r="G135" s="10">
        <v>8.0</v>
      </c>
      <c r="H135" s="11">
        <f t="shared" si="4"/>
        <v>12</v>
      </c>
      <c r="I135" s="10">
        <v>52.0</v>
      </c>
      <c r="J135" s="10">
        <v>48.0</v>
      </c>
      <c r="K135" s="10">
        <v>0.2</v>
      </c>
      <c r="L135" s="12">
        <v>0.0</v>
      </c>
      <c r="M135" s="10">
        <v>17.0</v>
      </c>
      <c r="N135" s="10">
        <v>4.0</v>
      </c>
      <c r="O135" s="10">
        <v>90.0</v>
      </c>
      <c r="P135" s="10">
        <v>5.0</v>
      </c>
      <c r="Q135" s="10">
        <v>40.0</v>
      </c>
      <c r="R135" s="10">
        <v>20.0</v>
      </c>
      <c r="S135" s="10">
        <v>46.0</v>
      </c>
      <c r="T135" s="10">
        <v>60.0</v>
      </c>
      <c r="U135" s="10">
        <v>40.0</v>
      </c>
      <c r="V135" s="7">
        <v>5.0</v>
      </c>
      <c r="W135" s="10">
        <v>4.0</v>
      </c>
      <c r="X135" s="15">
        <f t="shared" si="2"/>
        <v>0</v>
      </c>
      <c r="Y135" s="15">
        <f t="shared" si="3"/>
        <v>0.7</v>
      </c>
      <c r="Z135" s="35"/>
    </row>
    <row r="136">
      <c r="A136" s="31">
        <v>46024.0</v>
      </c>
      <c r="B136" s="10">
        <v>59.0</v>
      </c>
      <c r="C136" s="10">
        <v>41.0</v>
      </c>
      <c r="D136" s="10">
        <v>18.0</v>
      </c>
      <c r="E136" s="10">
        <v>17.0</v>
      </c>
      <c r="F136" s="10">
        <v>10.0</v>
      </c>
      <c r="G136" s="10">
        <v>9.0</v>
      </c>
      <c r="H136" s="11">
        <f t="shared" si="4"/>
        <v>1</v>
      </c>
      <c r="I136" s="10">
        <v>50.0</v>
      </c>
      <c r="J136" s="10">
        <v>50.0</v>
      </c>
      <c r="K136" s="10">
        <v>0.41</v>
      </c>
      <c r="L136" s="12">
        <v>0.0</v>
      </c>
      <c r="M136" s="10">
        <v>15.0</v>
      </c>
      <c r="N136" s="10">
        <v>5.0</v>
      </c>
      <c r="O136" s="10">
        <v>90.0</v>
      </c>
      <c r="P136" s="10">
        <v>5.0</v>
      </c>
      <c r="Q136" s="10">
        <v>40.0</v>
      </c>
      <c r="R136" s="10">
        <v>20.0</v>
      </c>
      <c r="S136" s="10">
        <v>56.0</v>
      </c>
      <c r="T136" s="10">
        <v>60.0</v>
      </c>
      <c r="U136" s="10">
        <v>40.0</v>
      </c>
      <c r="V136" s="7">
        <v>5.0</v>
      </c>
      <c r="W136" s="10">
        <v>4.0</v>
      </c>
      <c r="X136" s="15">
        <f t="shared" si="2"/>
        <v>0.1</v>
      </c>
      <c r="Y136" s="15">
        <f t="shared" si="3"/>
        <v>0.4</v>
      </c>
      <c r="Z136" s="35"/>
    </row>
    <row r="137">
      <c r="A137" s="31">
        <v>46027.0</v>
      </c>
      <c r="B137" s="10">
        <v>53.0</v>
      </c>
      <c r="C137" s="10">
        <v>47.0</v>
      </c>
      <c r="D137" s="10">
        <v>18.0</v>
      </c>
      <c r="E137" s="10">
        <v>17.0</v>
      </c>
      <c r="F137" s="10">
        <v>9.0</v>
      </c>
      <c r="G137" s="10">
        <v>10.0</v>
      </c>
      <c r="H137" s="11">
        <f t="shared" si="4"/>
        <v>-1</v>
      </c>
      <c r="I137" s="10">
        <v>48.0</v>
      </c>
      <c r="J137" s="10">
        <v>50.0</v>
      </c>
      <c r="K137" s="10">
        <v>1.02</v>
      </c>
      <c r="L137" s="12">
        <v>0.0</v>
      </c>
      <c r="M137" s="10">
        <v>16.0</v>
      </c>
      <c r="N137" s="10">
        <v>4.0</v>
      </c>
      <c r="O137" s="10">
        <v>90.0</v>
      </c>
      <c r="P137" s="10">
        <v>5.0</v>
      </c>
      <c r="Q137" s="10">
        <v>40.0</v>
      </c>
      <c r="R137" s="10">
        <v>20.0</v>
      </c>
      <c r="S137" s="10">
        <v>54.0</v>
      </c>
      <c r="T137" s="10">
        <v>60.0</v>
      </c>
      <c r="U137" s="10">
        <v>40.0</v>
      </c>
      <c r="V137" s="7">
        <v>5.0</v>
      </c>
      <c r="W137" s="10">
        <v>4.0</v>
      </c>
      <c r="X137" s="15">
        <f t="shared" si="2"/>
        <v>0.15</v>
      </c>
      <c r="Y137" s="15">
        <f t="shared" si="3"/>
        <v>0.4</v>
      </c>
      <c r="Z137" s="35"/>
    </row>
    <row r="138">
      <c r="A138" s="31">
        <v>46028.0</v>
      </c>
      <c r="B138" s="10">
        <v>37.0</v>
      </c>
      <c r="C138" s="10">
        <v>63.0</v>
      </c>
      <c r="D138" s="10">
        <v>18.0</v>
      </c>
      <c r="E138" s="10">
        <v>17.0</v>
      </c>
      <c r="F138" s="10">
        <v>7.0</v>
      </c>
      <c r="G138" s="10">
        <v>12.0</v>
      </c>
      <c r="H138" s="11">
        <f t="shared" si="4"/>
        <v>-5</v>
      </c>
      <c r="I138" s="10">
        <v>50.0</v>
      </c>
      <c r="J138" s="10">
        <v>48.0</v>
      </c>
      <c r="K138" s="10">
        <v>0.41</v>
      </c>
      <c r="L138" s="12">
        <v>0.0</v>
      </c>
      <c r="M138" s="10">
        <v>13.0</v>
      </c>
      <c r="N138" s="10">
        <v>4.0</v>
      </c>
      <c r="O138" s="10">
        <v>90.0</v>
      </c>
      <c r="P138" s="10">
        <v>5.0</v>
      </c>
      <c r="Q138" s="10">
        <v>40.0</v>
      </c>
      <c r="R138" s="10">
        <v>20.0</v>
      </c>
      <c r="S138" s="10">
        <v>53.0</v>
      </c>
      <c r="T138" s="10">
        <v>60.0</v>
      </c>
      <c r="U138" s="10">
        <v>40.0</v>
      </c>
      <c r="V138" s="7">
        <v>4.0</v>
      </c>
      <c r="W138" s="10">
        <v>4.0</v>
      </c>
      <c r="X138" s="15">
        <f t="shared" si="2"/>
        <v>0</v>
      </c>
      <c r="Y138" s="15">
        <f t="shared" si="3"/>
        <v>0.55</v>
      </c>
      <c r="Z138" s="35"/>
    </row>
    <row r="139">
      <c r="A139" s="31">
        <v>46029.0</v>
      </c>
      <c r="B139" s="10">
        <v>30.0</v>
      </c>
      <c r="C139" s="10">
        <v>70.0</v>
      </c>
      <c r="D139" s="10">
        <v>18.0</v>
      </c>
      <c r="E139" s="10">
        <v>17.0</v>
      </c>
      <c r="F139" s="10">
        <v>5.7</v>
      </c>
      <c r="G139" s="10">
        <v>13.5</v>
      </c>
      <c r="H139" s="11">
        <f t="shared" si="4"/>
        <v>-7.8</v>
      </c>
      <c r="I139" s="10">
        <v>49.0</v>
      </c>
      <c r="J139" s="10">
        <v>51.0</v>
      </c>
      <c r="K139" s="10">
        <v>0.2</v>
      </c>
      <c r="L139" s="12">
        <v>0.0</v>
      </c>
      <c r="M139" s="10">
        <v>15.0</v>
      </c>
      <c r="N139" s="10">
        <v>5.0</v>
      </c>
      <c r="O139" s="10">
        <v>90.0</v>
      </c>
      <c r="P139" s="10">
        <v>5.0</v>
      </c>
      <c r="Q139" s="10">
        <v>40.0</v>
      </c>
      <c r="R139" s="10">
        <v>20.0</v>
      </c>
      <c r="S139" s="10">
        <v>52.0</v>
      </c>
      <c r="T139" s="10">
        <v>60.0</v>
      </c>
      <c r="U139" s="10">
        <v>40.0</v>
      </c>
      <c r="V139" s="7">
        <v>4.0</v>
      </c>
      <c r="W139" s="10">
        <v>4.0</v>
      </c>
      <c r="X139" s="15">
        <f t="shared" si="2"/>
        <v>0.25</v>
      </c>
      <c r="Y139" s="35"/>
      <c r="Z139" s="35"/>
    </row>
    <row r="140">
      <c r="A140" s="31">
        <v>46030.0</v>
      </c>
      <c r="B140" s="10">
        <v>25.0</v>
      </c>
      <c r="C140" s="10">
        <v>75.0</v>
      </c>
      <c r="D140" s="10">
        <v>18.0</v>
      </c>
      <c r="E140" s="10">
        <v>17.0</v>
      </c>
      <c r="F140" s="10">
        <v>6.0</v>
      </c>
      <c r="G140" s="10">
        <v>10.0</v>
      </c>
      <c r="H140" s="11">
        <f t="shared" si="4"/>
        <v>-4</v>
      </c>
      <c r="I140" s="10">
        <v>61.0</v>
      </c>
      <c r="J140" s="10">
        <v>38.0</v>
      </c>
      <c r="K140" s="10">
        <v>0.2</v>
      </c>
      <c r="L140" s="12">
        <v>0.61</v>
      </c>
      <c r="M140" s="10">
        <v>18.0</v>
      </c>
      <c r="N140" s="10">
        <v>3.0</v>
      </c>
      <c r="O140" s="10">
        <v>90.0</v>
      </c>
      <c r="P140" s="10">
        <v>5.0</v>
      </c>
      <c r="Q140" s="10">
        <v>40.0</v>
      </c>
      <c r="R140" s="10">
        <v>20.0</v>
      </c>
      <c r="S140" s="10">
        <v>33.0</v>
      </c>
      <c r="T140" s="10">
        <v>60.0</v>
      </c>
      <c r="U140" s="10">
        <v>40.0</v>
      </c>
      <c r="V140" s="7">
        <v>3.0</v>
      </c>
      <c r="W140" s="10">
        <v>4.0</v>
      </c>
      <c r="X140" s="15">
        <f t="shared" si="2"/>
        <v>0</v>
      </c>
      <c r="Y140" s="35"/>
      <c r="Z140" s="35"/>
    </row>
    <row r="141">
      <c r="A141" s="36"/>
      <c r="H141" s="11">
        <f t="shared" si="4"/>
        <v>0</v>
      </c>
      <c r="L141" s="37"/>
      <c r="V141" s="32"/>
      <c r="X141" s="15">
        <f t="shared" si="2"/>
        <v>0</v>
      </c>
      <c r="Y141" s="35"/>
      <c r="Z141" s="35"/>
    </row>
    <row r="142">
      <c r="A142" s="36"/>
      <c r="H142" s="11">
        <f t="shared" si="4"/>
        <v>0</v>
      </c>
      <c r="L142" s="37"/>
      <c r="V142" s="32"/>
      <c r="X142" s="15">
        <f t="shared" si="2"/>
        <v>0</v>
      </c>
      <c r="Y142" s="35"/>
      <c r="Z142" s="35"/>
    </row>
    <row r="143">
      <c r="A143" s="36"/>
      <c r="H143" s="11">
        <f t="shared" si="4"/>
        <v>0</v>
      </c>
      <c r="L143" s="37"/>
      <c r="V143" s="32"/>
      <c r="X143" s="15">
        <f t="shared" si="2"/>
        <v>0</v>
      </c>
      <c r="Y143" s="35"/>
      <c r="Z143" s="35"/>
    </row>
    <row r="144">
      <c r="A144" s="36"/>
      <c r="H144" s="11">
        <f t="shared" si="4"/>
        <v>0</v>
      </c>
      <c r="L144" s="37"/>
      <c r="V144" s="32"/>
      <c r="X144" s="15">
        <f t="shared" si="2"/>
        <v>0</v>
      </c>
      <c r="Y144" s="35"/>
      <c r="Z144" s="35"/>
    </row>
    <row r="145">
      <c r="A145" s="36"/>
      <c r="H145" s="11">
        <f t="shared" si="4"/>
        <v>0</v>
      </c>
      <c r="L145" s="37"/>
      <c r="V145" s="32"/>
      <c r="X145" s="15">
        <f t="shared" si="2"/>
        <v>0</v>
      </c>
      <c r="Y145" s="35"/>
      <c r="Z145" s="35"/>
    </row>
    <row r="146">
      <c r="A146" s="36"/>
      <c r="L146" s="37"/>
      <c r="V146" s="32"/>
      <c r="X146" s="15">
        <f t="shared" si="2"/>
        <v>0</v>
      </c>
      <c r="Y146" s="35"/>
      <c r="Z146" s="35"/>
    </row>
    <row r="147">
      <c r="A147" s="36"/>
      <c r="L147" s="37"/>
      <c r="V147" s="32"/>
      <c r="X147" s="15">
        <f t="shared" si="2"/>
        <v>0</v>
      </c>
      <c r="Y147" s="35"/>
      <c r="Z147" s="35"/>
    </row>
    <row r="148">
      <c r="A148" s="36"/>
      <c r="L148" s="37"/>
      <c r="V148" s="32"/>
      <c r="X148" s="15">
        <f t="shared" si="2"/>
        <v>0</v>
      </c>
      <c r="Y148" s="35"/>
      <c r="Z148" s="35"/>
    </row>
    <row r="149">
      <c r="A149" s="36"/>
      <c r="L149" s="37"/>
      <c r="V149" s="32"/>
      <c r="X149" s="35"/>
      <c r="Y149" s="35"/>
      <c r="Z149" s="35"/>
    </row>
    <row r="150">
      <c r="A150" s="36"/>
      <c r="L150" s="37"/>
      <c r="V150" s="32"/>
      <c r="X150" s="35"/>
      <c r="Y150" s="35"/>
      <c r="Z150" s="35"/>
    </row>
    <row r="151">
      <c r="A151" s="36"/>
      <c r="L151" s="37"/>
      <c r="V151" s="32"/>
      <c r="X151" s="35"/>
      <c r="Y151" s="35"/>
      <c r="Z151" s="35"/>
    </row>
    <row r="152">
      <c r="A152" s="36"/>
      <c r="L152" s="37"/>
      <c r="V152" s="32"/>
      <c r="X152" s="35"/>
      <c r="Y152" s="35"/>
      <c r="Z152" s="35"/>
    </row>
    <row r="153">
      <c r="A153" s="36"/>
      <c r="L153" s="37"/>
      <c r="V153" s="32"/>
      <c r="X153" s="35"/>
      <c r="Y153" s="35"/>
      <c r="Z153" s="35"/>
    </row>
    <row r="154">
      <c r="A154" s="36"/>
      <c r="L154" s="37"/>
      <c r="V154" s="32"/>
      <c r="X154" s="35"/>
      <c r="Y154" s="35"/>
      <c r="Z154" s="35"/>
    </row>
    <row r="155">
      <c r="A155" s="36"/>
      <c r="L155" s="37"/>
      <c r="V155" s="32"/>
      <c r="X155" s="35"/>
      <c r="Y155" s="35"/>
      <c r="Z155" s="35"/>
    </row>
    <row r="156">
      <c r="A156" s="36"/>
      <c r="L156" s="37"/>
      <c r="V156" s="32"/>
      <c r="X156" s="35"/>
      <c r="Y156" s="35"/>
      <c r="Z156" s="35"/>
    </row>
    <row r="157">
      <c r="A157" s="36"/>
      <c r="L157" s="37"/>
      <c r="V157" s="32"/>
      <c r="X157" s="35"/>
      <c r="Y157" s="35"/>
      <c r="Z157" s="35"/>
    </row>
    <row r="158">
      <c r="A158" s="36"/>
      <c r="L158" s="37"/>
      <c r="V158" s="32"/>
      <c r="X158" s="35"/>
      <c r="Y158" s="35"/>
      <c r="Z158" s="35"/>
    </row>
    <row r="159">
      <c r="A159" s="36"/>
      <c r="L159" s="37"/>
      <c r="V159" s="32"/>
      <c r="X159" s="35"/>
      <c r="Y159" s="35"/>
      <c r="Z159" s="35"/>
    </row>
    <row r="160">
      <c r="A160" s="36"/>
      <c r="L160" s="37"/>
      <c r="V160" s="32"/>
      <c r="X160" s="35"/>
      <c r="Y160" s="35"/>
      <c r="Z160" s="35"/>
    </row>
    <row r="161">
      <c r="A161" s="36"/>
      <c r="L161" s="37"/>
      <c r="V161" s="32"/>
      <c r="X161" s="35"/>
      <c r="Y161" s="35"/>
      <c r="Z161" s="35"/>
    </row>
    <row r="162">
      <c r="A162" s="36"/>
      <c r="L162" s="37"/>
      <c r="V162" s="32"/>
      <c r="X162" s="35"/>
      <c r="Y162" s="35"/>
      <c r="Z162" s="35"/>
    </row>
    <row r="163">
      <c r="A163" s="36"/>
      <c r="L163" s="37"/>
      <c r="V163" s="32"/>
      <c r="X163" s="35"/>
      <c r="Y163" s="35"/>
      <c r="Z163" s="35"/>
    </row>
    <row r="164">
      <c r="A164" s="36"/>
      <c r="L164" s="37"/>
      <c r="V164" s="32"/>
      <c r="X164" s="35"/>
      <c r="Y164" s="35"/>
      <c r="Z164" s="35"/>
    </row>
    <row r="165">
      <c r="A165" s="36"/>
      <c r="L165" s="37"/>
      <c r="V165" s="32"/>
      <c r="X165" s="35"/>
      <c r="Y165" s="35"/>
      <c r="Z165" s="35"/>
    </row>
    <row r="166">
      <c r="A166" s="36"/>
      <c r="L166" s="37"/>
      <c r="V166" s="32"/>
      <c r="X166" s="35"/>
      <c r="Y166" s="35"/>
      <c r="Z166" s="35"/>
    </row>
    <row r="167">
      <c r="A167" s="36"/>
      <c r="L167" s="37"/>
      <c r="V167" s="32"/>
      <c r="X167" s="35"/>
      <c r="Y167" s="35"/>
      <c r="Z167" s="35"/>
    </row>
    <row r="168">
      <c r="A168" s="36"/>
      <c r="L168" s="37"/>
      <c r="V168" s="32"/>
      <c r="X168" s="35"/>
      <c r="Y168" s="35"/>
      <c r="Z168" s="35"/>
    </row>
    <row r="169">
      <c r="A169" s="36"/>
      <c r="L169" s="37"/>
      <c r="V169" s="32"/>
      <c r="X169" s="35"/>
      <c r="Y169" s="35"/>
      <c r="Z169" s="35"/>
    </row>
    <row r="170">
      <c r="A170" s="36"/>
      <c r="L170" s="37"/>
      <c r="V170" s="32"/>
      <c r="X170" s="35"/>
      <c r="Y170" s="35"/>
      <c r="Z170" s="35"/>
    </row>
    <row r="171">
      <c r="A171" s="36"/>
      <c r="L171" s="37"/>
      <c r="V171" s="32"/>
      <c r="X171" s="35"/>
      <c r="Y171" s="35"/>
      <c r="Z171" s="35"/>
    </row>
    <row r="172">
      <c r="A172" s="36"/>
      <c r="L172" s="37"/>
      <c r="V172" s="32"/>
      <c r="X172" s="35"/>
      <c r="Y172" s="35"/>
      <c r="Z172" s="35"/>
    </row>
    <row r="173">
      <c r="A173" s="36"/>
      <c r="L173" s="37"/>
      <c r="V173" s="32"/>
      <c r="X173" s="35"/>
      <c r="Y173" s="35"/>
      <c r="Z173" s="35"/>
    </row>
    <row r="174">
      <c r="A174" s="36"/>
      <c r="L174" s="37"/>
      <c r="V174" s="32"/>
      <c r="X174" s="35"/>
      <c r="Y174" s="35"/>
      <c r="Z174" s="35"/>
    </row>
    <row r="175">
      <c r="A175" s="36"/>
      <c r="L175" s="37"/>
      <c r="V175" s="32"/>
      <c r="X175" s="35"/>
      <c r="Y175" s="35"/>
      <c r="Z175" s="35"/>
    </row>
    <row r="176">
      <c r="A176" s="36"/>
      <c r="L176" s="37"/>
      <c r="V176" s="32"/>
      <c r="X176" s="35"/>
      <c r="Y176" s="35"/>
      <c r="Z176" s="35"/>
    </row>
    <row r="177">
      <c r="A177" s="36"/>
      <c r="L177" s="37"/>
      <c r="V177" s="32"/>
      <c r="X177" s="35"/>
      <c r="Y177" s="35"/>
      <c r="Z177" s="35"/>
    </row>
    <row r="178">
      <c r="A178" s="36"/>
      <c r="L178" s="37"/>
      <c r="V178" s="32"/>
      <c r="X178" s="35"/>
      <c r="Y178" s="35"/>
      <c r="Z178" s="35"/>
    </row>
    <row r="179">
      <c r="A179" s="36"/>
      <c r="L179" s="37"/>
      <c r="V179" s="32"/>
      <c r="X179" s="35"/>
      <c r="Y179" s="35"/>
      <c r="Z179" s="35"/>
    </row>
    <row r="180">
      <c r="A180" s="36"/>
      <c r="L180" s="37"/>
      <c r="V180" s="32"/>
      <c r="X180" s="35"/>
      <c r="Y180" s="35"/>
      <c r="Z180" s="35"/>
    </row>
    <row r="181">
      <c r="A181" s="36"/>
      <c r="L181" s="37"/>
      <c r="V181" s="32"/>
      <c r="X181" s="35"/>
      <c r="Y181" s="35"/>
      <c r="Z181" s="35"/>
    </row>
    <row r="182">
      <c r="A182" s="36"/>
      <c r="L182" s="37"/>
      <c r="V182" s="32"/>
      <c r="X182" s="35"/>
      <c r="Y182" s="35"/>
      <c r="Z182" s="35"/>
    </row>
    <row r="183">
      <c r="A183" s="36"/>
      <c r="L183" s="37"/>
      <c r="V183" s="32"/>
      <c r="X183" s="35"/>
      <c r="Y183" s="35"/>
      <c r="Z183" s="35"/>
    </row>
    <row r="184">
      <c r="A184" s="36"/>
      <c r="L184" s="37"/>
      <c r="V184" s="32"/>
      <c r="X184" s="35"/>
      <c r="Y184" s="35"/>
      <c r="Z184" s="35"/>
    </row>
    <row r="185">
      <c r="A185" s="36"/>
      <c r="L185" s="37"/>
      <c r="V185" s="32"/>
      <c r="X185" s="35"/>
      <c r="Y185" s="35"/>
      <c r="Z185" s="35"/>
    </row>
    <row r="186">
      <c r="A186" s="36"/>
      <c r="L186" s="37"/>
      <c r="V186" s="32"/>
      <c r="X186" s="35"/>
      <c r="Y186" s="35"/>
      <c r="Z186" s="35"/>
    </row>
    <row r="187">
      <c r="A187" s="36"/>
      <c r="L187" s="37"/>
      <c r="V187" s="32"/>
      <c r="X187" s="35"/>
      <c r="Y187" s="35"/>
      <c r="Z187" s="35"/>
    </row>
    <row r="188">
      <c r="A188" s="36"/>
      <c r="L188" s="37"/>
      <c r="V188" s="32"/>
      <c r="X188" s="35"/>
      <c r="Y188" s="35"/>
      <c r="Z188" s="35"/>
    </row>
    <row r="189">
      <c r="A189" s="36"/>
      <c r="L189" s="37"/>
      <c r="V189" s="32"/>
      <c r="X189" s="35"/>
      <c r="Y189" s="35"/>
      <c r="Z189" s="35"/>
    </row>
    <row r="190">
      <c r="A190" s="36"/>
      <c r="L190" s="37"/>
      <c r="V190" s="32"/>
      <c r="X190" s="35"/>
      <c r="Y190" s="35"/>
      <c r="Z190" s="35"/>
    </row>
    <row r="191">
      <c r="A191" s="36"/>
      <c r="L191" s="37"/>
      <c r="V191" s="32"/>
      <c r="X191" s="35"/>
      <c r="Y191" s="35"/>
      <c r="Z191" s="35"/>
    </row>
    <row r="192">
      <c r="A192" s="36"/>
      <c r="L192" s="37"/>
      <c r="V192" s="32"/>
      <c r="X192" s="35"/>
      <c r="Y192" s="35"/>
      <c r="Z192" s="35"/>
    </row>
    <row r="193">
      <c r="A193" s="36"/>
      <c r="L193" s="37"/>
      <c r="V193" s="32"/>
      <c r="X193" s="35"/>
      <c r="Y193" s="35"/>
      <c r="Z193" s="35"/>
    </row>
    <row r="194">
      <c r="A194" s="36"/>
      <c r="L194" s="37"/>
      <c r="V194" s="32"/>
      <c r="X194" s="35"/>
      <c r="Y194" s="35"/>
      <c r="Z194" s="35"/>
    </row>
    <row r="195">
      <c r="A195" s="36"/>
      <c r="L195" s="37"/>
      <c r="V195" s="32"/>
      <c r="X195" s="35"/>
      <c r="Y195" s="35"/>
      <c r="Z195" s="35"/>
    </row>
    <row r="196">
      <c r="A196" s="36"/>
      <c r="L196" s="37"/>
      <c r="V196" s="32"/>
      <c r="X196" s="35"/>
      <c r="Y196" s="35"/>
      <c r="Z196" s="35"/>
    </row>
    <row r="197">
      <c r="A197" s="36"/>
      <c r="L197" s="37"/>
      <c r="V197" s="32"/>
      <c r="X197" s="35"/>
      <c r="Y197" s="35"/>
      <c r="Z197" s="35"/>
    </row>
    <row r="198">
      <c r="A198" s="36"/>
      <c r="L198" s="37"/>
      <c r="V198" s="32"/>
      <c r="X198" s="35"/>
      <c r="Y198" s="35"/>
      <c r="Z198" s="35"/>
    </row>
    <row r="199">
      <c r="A199" s="36"/>
      <c r="L199" s="37"/>
      <c r="V199" s="32"/>
      <c r="X199" s="35"/>
      <c r="Y199" s="35"/>
      <c r="Z199" s="35"/>
    </row>
    <row r="200">
      <c r="A200" s="36"/>
      <c r="L200" s="37"/>
      <c r="V200" s="32"/>
      <c r="X200" s="35"/>
      <c r="Y200" s="35"/>
      <c r="Z200" s="35"/>
    </row>
    <row r="201">
      <c r="A201" s="36"/>
      <c r="L201" s="37"/>
      <c r="V201" s="32"/>
      <c r="X201" s="35"/>
      <c r="Y201" s="35"/>
      <c r="Z201" s="35"/>
    </row>
    <row r="202">
      <c r="A202" s="36"/>
      <c r="L202" s="37"/>
      <c r="V202" s="32"/>
      <c r="X202" s="35"/>
      <c r="Y202" s="35"/>
      <c r="Z202" s="35"/>
    </row>
    <row r="203">
      <c r="A203" s="36"/>
      <c r="L203" s="37"/>
      <c r="V203" s="32"/>
      <c r="X203" s="35"/>
      <c r="Y203" s="35"/>
      <c r="Z203" s="35"/>
    </row>
    <row r="204">
      <c r="A204" s="36"/>
      <c r="L204" s="37"/>
      <c r="V204" s="32"/>
      <c r="X204" s="35"/>
      <c r="Y204" s="35"/>
      <c r="Z204" s="35"/>
    </row>
    <row r="205">
      <c r="A205" s="36"/>
      <c r="L205" s="37"/>
      <c r="V205" s="32"/>
      <c r="X205" s="35"/>
      <c r="Y205" s="35"/>
      <c r="Z205" s="35"/>
    </row>
    <row r="206">
      <c r="A206" s="36"/>
      <c r="L206" s="37"/>
      <c r="V206" s="32"/>
      <c r="X206" s="35"/>
      <c r="Y206" s="35"/>
      <c r="Z206" s="35"/>
    </row>
    <row r="207">
      <c r="A207" s="36"/>
      <c r="L207" s="37"/>
      <c r="V207" s="32"/>
      <c r="X207" s="35"/>
      <c r="Y207" s="35"/>
      <c r="Z207" s="35"/>
    </row>
    <row r="208">
      <c r="A208" s="36"/>
      <c r="L208" s="37"/>
      <c r="V208" s="32"/>
      <c r="X208" s="35"/>
      <c r="Y208" s="35"/>
      <c r="Z208" s="35"/>
    </row>
    <row r="209">
      <c r="A209" s="36"/>
      <c r="L209" s="37"/>
      <c r="V209" s="32"/>
      <c r="X209" s="35"/>
      <c r="Y209" s="35"/>
      <c r="Z209" s="35"/>
    </row>
    <row r="210">
      <c r="A210" s="36"/>
      <c r="L210" s="37"/>
      <c r="V210" s="32"/>
      <c r="X210" s="35"/>
      <c r="Y210" s="35"/>
      <c r="Z210" s="35"/>
    </row>
    <row r="211">
      <c r="A211" s="36"/>
      <c r="L211" s="37"/>
      <c r="V211" s="32"/>
      <c r="X211" s="35"/>
      <c r="Y211" s="35"/>
      <c r="Z211" s="35"/>
    </row>
    <row r="212">
      <c r="A212" s="36"/>
      <c r="L212" s="37"/>
      <c r="V212" s="32"/>
      <c r="X212" s="35"/>
      <c r="Y212" s="35"/>
      <c r="Z212" s="35"/>
    </row>
    <row r="213">
      <c r="A213" s="36"/>
      <c r="L213" s="37"/>
      <c r="V213" s="32"/>
      <c r="X213" s="35"/>
      <c r="Y213" s="35"/>
      <c r="Z213" s="35"/>
    </row>
    <row r="214">
      <c r="A214" s="36"/>
      <c r="L214" s="37"/>
      <c r="V214" s="32"/>
      <c r="X214" s="35"/>
      <c r="Y214" s="35"/>
      <c r="Z214" s="35"/>
    </row>
    <row r="215">
      <c r="A215" s="36"/>
      <c r="L215" s="37"/>
      <c r="V215" s="32"/>
      <c r="X215" s="35"/>
      <c r="Y215" s="35"/>
      <c r="Z215" s="35"/>
    </row>
    <row r="216">
      <c r="A216" s="36"/>
      <c r="L216" s="37"/>
      <c r="V216" s="32"/>
      <c r="X216" s="35"/>
      <c r="Y216" s="35"/>
      <c r="Z216" s="35"/>
    </row>
    <row r="217">
      <c r="A217" s="36"/>
      <c r="L217" s="37"/>
      <c r="V217" s="32"/>
      <c r="X217" s="35"/>
      <c r="Y217" s="35"/>
      <c r="Z217" s="35"/>
    </row>
    <row r="218">
      <c r="A218" s="36"/>
      <c r="L218" s="37"/>
      <c r="V218" s="32"/>
      <c r="X218" s="35"/>
      <c r="Y218" s="35"/>
      <c r="Z218" s="35"/>
    </row>
    <row r="219">
      <c r="A219" s="36"/>
      <c r="L219" s="37"/>
      <c r="V219" s="32"/>
      <c r="X219" s="35"/>
      <c r="Y219" s="35"/>
      <c r="Z219" s="35"/>
    </row>
    <row r="220">
      <c r="A220" s="36"/>
      <c r="L220" s="37"/>
      <c r="V220" s="32"/>
      <c r="X220" s="35"/>
      <c r="Y220" s="35"/>
      <c r="Z220" s="35"/>
    </row>
    <row r="221">
      <c r="A221" s="36"/>
      <c r="L221" s="37"/>
      <c r="V221" s="32"/>
      <c r="X221" s="35"/>
      <c r="Y221" s="35"/>
      <c r="Z221" s="35"/>
    </row>
    <row r="222">
      <c r="A222" s="36"/>
      <c r="L222" s="37"/>
      <c r="V222" s="32"/>
      <c r="X222" s="35"/>
      <c r="Y222" s="35"/>
      <c r="Z222" s="35"/>
    </row>
    <row r="223">
      <c r="A223" s="36"/>
      <c r="L223" s="37"/>
      <c r="V223" s="32"/>
      <c r="X223" s="35"/>
      <c r="Y223" s="35"/>
      <c r="Z223" s="35"/>
    </row>
    <row r="224">
      <c r="A224" s="36"/>
      <c r="L224" s="37"/>
      <c r="V224" s="32"/>
      <c r="X224" s="35"/>
      <c r="Y224" s="35"/>
      <c r="Z224" s="35"/>
    </row>
    <row r="225">
      <c r="A225" s="36"/>
      <c r="L225" s="37"/>
      <c r="V225" s="32"/>
      <c r="X225" s="35"/>
      <c r="Y225" s="35"/>
      <c r="Z225" s="35"/>
    </row>
    <row r="226">
      <c r="A226" s="36"/>
      <c r="L226" s="37"/>
      <c r="V226" s="32"/>
      <c r="X226" s="35"/>
      <c r="Y226" s="35"/>
      <c r="Z226" s="35"/>
    </row>
    <row r="227">
      <c r="A227" s="36"/>
      <c r="L227" s="37"/>
      <c r="V227" s="32"/>
      <c r="X227" s="35"/>
      <c r="Y227" s="35"/>
      <c r="Z227" s="35"/>
    </row>
    <row r="228">
      <c r="A228" s="36"/>
      <c r="L228" s="37"/>
      <c r="V228" s="32"/>
      <c r="X228" s="35"/>
      <c r="Y228" s="35"/>
      <c r="Z228" s="35"/>
    </row>
    <row r="229">
      <c r="A229" s="36"/>
      <c r="L229" s="37"/>
      <c r="V229" s="32"/>
      <c r="X229" s="35"/>
      <c r="Y229" s="35"/>
      <c r="Z229" s="35"/>
    </row>
    <row r="230">
      <c r="A230" s="36"/>
      <c r="L230" s="37"/>
      <c r="V230" s="32"/>
      <c r="X230" s="35"/>
      <c r="Y230" s="35"/>
      <c r="Z230" s="35"/>
    </row>
    <row r="231">
      <c r="A231" s="36"/>
      <c r="L231" s="37"/>
      <c r="V231" s="32"/>
      <c r="X231" s="35"/>
      <c r="Y231" s="35"/>
      <c r="Z231" s="35"/>
    </row>
    <row r="232">
      <c r="A232" s="36"/>
      <c r="L232" s="37"/>
      <c r="V232" s="32"/>
      <c r="X232" s="35"/>
      <c r="Y232" s="35"/>
      <c r="Z232" s="35"/>
    </row>
    <row r="233">
      <c r="A233" s="36"/>
      <c r="L233" s="37"/>
      <c r="V233" s="32"/>
      <c r="X233" s="35"/>
      <c r="Y233" s="35"/>
      <c r="Z233" s="35"/>
    </row>
    <row r="234">
      <c r="A234" s="36"/>
      <c r="L234" s="37"/>
      <c r="V234" s="32"/>
      <c r="X234" s="35"/>
      <c r="Y234" s="35"/>
      <c r="Z234" s="35"/>
    </row>
    <row r="235">
      <c r="A235" s="36"/>
      <c r="L235" s="37"/>
      <c r="V235" s="32"/>
      <c r="X235" s="35"/>
      <c r="Y235" s="35"/>
      <c r="Z235" s="35"/>
    </row>
    <row r="236">
      <c r="A236" s="36"/>
      <c r="L236" s="37"/>
      <c r="V236" s="32"/>
      <c r="X236" s="35"/>
      <c r="Y236" s="35"/>
      <c r="Z236" s="35"/>
    </row>
    <row r="237">
      <c r="A237" s="36"/>
      <c r="L237" s="37"/>
      <c r="V237" s="32"/>
      <c r="X237" s="35"/>
      <c r="Y237" s="35"/>
      <c r="Z237" s="35"/>
    </row>
    <row r="238">
      <c r="A238" s="36"/>
      <c r="L238" s="37"/>
      <c r="V238" s="32"/>
      <c r="X238" s="35"/>
      <c r="Y238" s="35"/>
      <c r="Z238" s="35"/>
    </row>
    <row r="239">
      <c r="A239" s="36"/>
      <c r="L239" s="37"/>
      <c r="V239" s="32"/>
      <c r="X239" s="35"/>
      <c r="Y239" s="35"/>
      <c r="Z239" s="35"/>
    </row>
    <row r="240">
      <c r="A240" s="36"/>
      <c r="L240" s="37"/>
      <c r="V240" s="32"/>
      <c r="X240" s="35"/>
      <c r="Y240" s="35"/>
      <c r="Z240" s="35"/>
    </row>
    <row r="241">
      <c r="A241" s="36"/>
      <c r="L241" s="37"/>
      <c r="V241" s="32"/>
      <c r="X241" s="35"/>
      <c r="Y241" s="35"/>
      <c r="Z241" s="35"/>
    </row>
    <row r="242">
      <c r="A242" s="36"/>
      <c r="L242" s="37"/>
      <c r="V242" s="32"/>
      <c r="X242" s="35"/>
      <c r="Y242" s="35"/>
      <c r="Z242" s="35"/>
    </row>
    <row r="243">
      <c r="A243" s="36"/>
      <c r="L243" s="37"/>
      <c r="V243" s="32"/>
      <c r="X243" s="35"/>
      <c r="Y243" s="35"/>
      <c r="Z243" s="35"/>
    </row>
    <row r="244">
      <c r="A244" s="36"/>
      <c r="L244" s="37"/>
      <c r="V244" s="32"/>
      <c r="X244" s="35"/>
      <c r="Y244" s="35"/>
      <c r="Z244" s="35"/>
    </row>
    <row r="245">
      <c r="A245" s="36"/>
      <c r="L245" s="37"/>
      <c r="V245" s="32"/>
      <c r="X245" s="35"/>
      <c r="Y245" s="35"/>
      <c r="Z245" s="35"/>
    </row>
    <row r="246">
      <c r="A246" s="36"/>
      <c r="L246" s="37"/>
      <c r="V246" s="32"/>
      <c r="X246" s="35"/>
      <c r="Y246" s="35"/>
      <c r="Z246" s="35"/>
    </row>
    <row r="247">
      <c r="A247" s="36"/>
      <c r="L247" s="37"/>
      <c r="V247" s="32"/>
      <c r="X247" s="35"/>
      <c r="Y247" s="35"/>
      <c r="Z247" s="35"/>
    </row>
    <row r="248">
      <c r="A248" s="36"/>
      <c r="L248" s="37"/>
      <c r="V248" s="32"/>
      <c r="X248" s="35"/>
      <c r="Y248" s="35"/>
      <c r="Z248" s="35"/>
    </row>
    <row r="249">
      <c r="A249" s="36"/>
      <c r="L249" s="37"/>
      <c r="V249" s="32"/>
      <c r="X249" s="35"/>
      <c r="Y249" s="35"/>
      <c r="Z249" s="35"/>
    </row>
    <row r="250">
      <c r="A250" s="36"/>
      <c r="L250" s="37"/>
      <c r="V250" s="32"/>
      <c r="X250" s="35"/>
      <c r="Y250" s="35"/>
      <c r="Z250" s="35"/>
    </row>
    <row r="251">
      <c r="A251" s="36"/>
      <c r="L251" s="37"/>
      <c r="V251" s="32"/>
      <c r="X251" s="35"/>
      <c r="Y251" s="35"/>
      <c r="Z251" s="35"/>
    </row>
    <row r="252">
      <c r="A252" s="36"/>
      <c r="L252" s="37"/>
      <c r="V252" s="32"/>
      <c r="X252" s="35"/>
      <c r="Y252" s="35"/>
      <c r="Z252" s="35"/>
    </row>
    <row r="253">
      <c r="A253" s="36"/>
      <c r="L253" s="37"/>
      <c r="V253" s="32"/>
      <c r="X253" s="35"/>
      <c r="Y253" s="35"/>
      <c r="Z253" s="35"/>
    </row>
    <row r="254">
      <c r="A254" s="36"/>
      <c r="L254" s="37"/>
      <c r="V254" s="32"/>
      <c r="X254" s="35"/>
      <c r="Y254" s="35"/>
      <c r="Z254" s="35"/>
    </row>
    <row r="255">
      <c r="A255" s="36"/>
      <c r="L255" s="37"/>
      <c r="V255" s="32"/>
      <c r="X255" s="35"/>
      <c r="Y255" s="35"/>
      <c r="Z255" s="35"/>
    </row>
    <row r="256">
      <c r="A256" s="36"/>
      <c r="L256" s="37"/>
      <c r="V256" s="32"/>
      <c r="X256" s="35"/>
      <c r="Y256" s="35"/>
      <c r="Z256" s="35"/>
    </row>
    <row r="257">
      <c r="A257" s="36"/>
      <c r="L257" s="37"/>
      <c r="V257" s="32"/>
      <c r="X257" s="35"/>
      <c r="Y257" s="35"/>
      <c r="Z257" s="35"/>
    </row>
    <row r="258">
      <c r="A258" s="36"/>
      <c r="L258" s="37"/>
      <c r="V258" s="32"/>
      <c r="X258" s="35"/>
      <c r="Y258" s="35"/>
      <c r="Z258" s="35"/>
    </row>
    <row r="259">
      <c r="A259" s="36"/>
      <c r="L259" s="37"/>
      <c r="V259" s="32"/>
      <c r="X259" s="35"/>
      <c r="Y259" s="35"/>
      <c r="Z259" s="35"/>
    </row>
    <row r="260">
      <c r="A260" s="36"/>
      <c r="L260" s="37"/>
      <c r="V260" s="32"/>
      <c r="X260" s="35"/>
      <c r="Y260" s="35"/>
      <c r="Z260" s="35"/>
    </row>
    <row r="261">
      <c r="A261" s="36"/>
      <c r="L261" s="37"/>
      <c r="V261" s="32"/>
      <c r="X261" s="35"/>
      <c r="Y261" s="35"/>
      <c r="Z261" s="35"/>
    </row>
    <row r="262">
      <c r="A262" s="36"/>
      <c r="L262" s="37"/>
      <c r="V262" s="32"/>
      <c r="X262" s="35"/>
      <c r="Y262" s="35"/>
      <c r="Z262" s="35"/>
    </row>
    <row r="263">
      <c r="A263" s="36"/>
      <c r="L263" s="37"/>
      <c r="V263" s="32"/>
      <c r="X263" s="35"/>
      <c r="Y263" s="35"/>
      <c r="Z263" s="35"/>
    </row>
    <row r="264">
      <c r="A264" s="36"/>
      <c r="L264" s="37"/>
      <c r="V264" s="32"/>
      <c r="X264" s="35"/>
      <c r="Y264" s="35"/>
      <c r="Z264" s="35"/>
    </row>
    <row r="265">
      <c r="A265" s="36"/>
      <c r="L265" s="37"/>
      <c r="V265" s="32"/>
      <c r="X265" s="35"/>
      <c r="Y265" s="35"/>
      <c r="Z265" s="35"/>
    </row>
    <row r="266">
      <c r="A266" s="36"/>
      <c r="L266" s="37"/>
      <c r="V266" s="32"/>
      <c r="X266" s="35"/>
      <c r="Y266" s="35"/>
      <c r="Z266" s="35"/>
    </row>
    <row r="267">
      <c r="A267" s="36"/>
      <c r="L267" s="37"/>
      <c r="V267" s="32"/>
      <c r="X267" s="35"/>
      <c r="Y267" s="35"/>
      <c r="Z267" s="35"/>
    </row>
    <row r="268">
      <c r="A268" s="36"/>
      <c r="L268" s="37"/>
      <c r="V268" s="32"/>
      <c r="X268" s="35"/>
      <c r="Y268" s="35"/>
      <c r="Z268" s="35"/>
    </row>
    <row r="269">
      <c r="A269" s="36"/>
      <c r="L269" s="37"/>
      <c r="V269" s="32"/>
      <c r="X269" s="35"/>
      <c r="Y269" s="35"/>
      <c r="Z269" s="35"/>
    </row>
    <row r="270">
      <c r="A270" s="36"/>
      <c r="L270" s="37"/>
      <c r="V270" s="32"/>
      <c r="X270" s="35"/>
      <c r="Y270" s="35"/>
      <c r="Z270" s="35"/>
    </row>
    <row r="271">
      <c r="A271" s="36"/>
      <c r="L271" s="37"/>
      <c r="V271" s="32"/>
      <c r="X271" s="35"/>
      <c r="Y271" s="35"/>
      <c r="Z271" s="35"/>
    </row>
    <row r="272">
      <c r="A272" s="36"/>
      <c r="L272" s="37"/>
      <c r="V272" s="32"/>
      <c r="X272" s="35"/>
      <c r="Y272" s="35"/>
      <c r="Z272" s="35"/>
    </row>
    <row r="273">
      <c r="A273" s="36"/>
      <c r="L273" s="37"/>
      <c r="V273" s="32"/>
      <c r="X273" s="35"/>
      <c r="Y273" s="35"/>
      <c r="Z273" s="35"/>
    </row>
    <row r="274">
      <c r="A274" s="36"/>
      <c r="L274" s="37"/>
      <c r="V274" s="32"/>
      <c r="X274" s="35"/>
      <c r="Y274" s="35"/>
      <c r="Z274" s="35"/>
    </row>
    <row r="275">
      <c r="A275" s="36"/>
      <c r="L275" s="37"/>
      <c r="V275" s="32"/>
      <c r="X275" s="35"/>
      <c r="Y275" s="35"/>
      <c r="Z275" s="35"/>
    </row>
    <row r="276">
      <c r="A276" s="36"/>
      <c r="L276" s="37"/>
      <c r="V276" s="32"/>
      <c r="X276" s="35"/>
      <c r="Y276" s="35"/>
      <c r="Z276" s="35"/>
    </row>
    <row r="277">
      <c r="A277" s="36"/>
      <c r="L277" s="37"/>
      <c r="V277" s="32"/>
      <c r="X277" s="35"/>
      <c r="Y277" s="35"/>
      <c r="Z277" s="35"/>
    </row>
    <row r="278">
      <c r="A278" s="36"/>
      <c r="L278" s="37"/>
      <c r="V278" s="32"/>
      <c r="X278" s="35"/>
      <c r="Y278" s="35"/>
      <c r="Z278" s="35"/>
    </row>
    <row r="279">
      <c r="A279" s="36"/>
      <c r="L279" s="37"/>
      <c r="V279" s="32"/>
      <c r="X279" s="35"/>
      <c r="Y279" s="35"/>
      <c r="Z279" s="35"/>
    </row>
    <row r="280">
      <c r="A280" s="36"/>
      <c r="L280" s="37"/>
      <c r="V280" s="32"/>
      <c r="X280" s="35"/>
      <c r="Y280" s="35"/>
      <c r="Z280" s="35"/>
    </row>
    <row r="281">
      <c r="A281" s="36"/>
      <c r="L281" s="37"/>
      <c r="V281" s="32"/>
      <c r="X281" s="35"/>
      <c r="Y281" s="35"/>
      <c r="Z281" s="35"/>
    </row>
    <row r="282">
      <c r="A282" s="36"/>
      <c r="L282" s="37"/>
      <c r="V282" s="32"/>
      <c r="X282" s="35"/>
      <c r="Y282" s="35"/>
      <c r="Z282" s="35"/>
    </row>
    <row r="283">
      <c r="A283" s="36"/>
      <c r="L283" s="37"/>
      <c r="V283" s="32"/>
      <c r="X283" s="35"/>
      <c r="Y283" s="35"/>
      <c r="Z283" s="35"/>
    </row>
    <row r="284">
      <c r="A284" s="36"/>
      <c r="L284" s="37"/>
      <c r="V284" s="32"/>
      <c r="X284" s="35"/>
      <c r="Y284" s="35"/>
      <c r="Z284" s="35"/>
    </row>
    <row r="285">
      <c r="A285" s="36"/>
      <c r="L285" s="37"/>
      <c r="V285" s="32"/>
      <c r="X285" s="35"/>
      <c r="Y285" s="35"/>
      <c r="Z285" s="35"/>
    </row>
    <row r="286">
      <c r="A286" s="36"/>
      <c r="L286" s="37"/>
      <c r="V286" s="32"/>
      <c r="X286" s="35"/>
      <c r="Y286" s="35"/>
      <c r="Z286" s="35"/>
    </row>
    <row r="287">
      <c r="A287" s="36"/>
      <c r="L287" s="37"/>
      <c r="V287" s="32"/>
      <c r="X287" s="35"/>
      <c r="Y287" s="35"/>
      <c r="Z287" s="35"/>
    </row>
    <row r="288">
      <c r="A288" s="36"/>
      <c r="L288" s="37"/>
      <c r="V288" s="32"/>
      <c r="X288" s="35"/>
      <c r="Y288" s="35"/>
      <c r="Z288" s="35"/>
    </row>
    <row r="289">
      <c r="A289" s="36"/>
      <c r="L289" s="37"/>
      <c r="V289" s="32"/>
      <c r="X289" s="35"/>
      <c r="Y289" s="35"/>
      <c r="Z289" s="35"/>
    </row>
    <row r="290">
      <c r="A290" s="36"/>
      <c r="L290" s="37"/>
      <c r="V290" s="32"/>
      <c r="X290" s="35"/>
      <c r="Y290" s="35"/>
      <c r="Z290" s="35"/>
    </row>
    <row r="291">
      <c r="A291" s="36"/>
      <c r="L291" s="37"/>
      <c r="V291" s="32"/>
      <c r="X291" s="35"/>
      <c r="Y291" s="35"/>
      <c r="Z291" s="35"/>
    </row>
    <row r="292">
      <c r="A292" s="36"/>
      <c r="L292" s="37"/>
      <c r="V292" s="32"/>
      <c r="X292" s="35"/>
      <c r="Y292" s="35"/>
      <c r="Z292" s="35"/>
    </row>
    <row r="293">
      <c r="A293" s="36"/>
      <c r="L293" s="37"/>
      <c r="V293" s="32"/>
      <c r="X293" s="35"/>
      <c r="Y293" s="35"/>
      <c r="Z293" s="35"/>
    </row>
    <row r="294">
      <c r="A294" s="36"/>
      <c r="L294" s="37"/>
      <c r="V294" s="32"/>
      <c r="X294" s="35"/>
      <c r="Y294" s="35"/>
      <c r="Z294" s="35"/>
    </row>
    <row r="295">
      <c r="A295" s="36"/>
      <c r="L295" s="37"/>
      <c r="V295" s="32"/>
      <c r="X295" s="35"/>
      <c r="Y295" s="35"/>
      <c r="Z295" s="35"/>
    </row>
    <row r="296">
      <c r="A296" s="36"/>
      <c r="L296" s="37"/>
      <c r="V296" s="32"/>
      <c r="X296" s="35"/>
      <c r="Y296" s="35"/>
      <c r="Z296" s="35"/>
    </row>
    <row r="297">
      <c r="A297" s="36"/>
      <c r="L297" s="37"/>
      <c r="V297" s="32"/>
      <c r="X297" s="35"/>
      <c r="Y297" s="35"/>
      <c r="Z297" s="35"/>
    </row>
    <row r="298">
      <c r="A298" s="36"/>
      <c r="L298" s="37"/>
      <c r="V298" s="32"/>
      <c r="X298" s="35"/>
      <c r="Y298" s="35"/>
      <c r="Z298" s="35"/>
    </row>
    <row r="299">
      <c r="A299" s="36"/>
      <c r="L299" s="37"/>
      <c r="V299" s="32"/>
      <c r="X299" s="35"/>
      <c r="Y299" s="35"/>
      <c r="Z299" s="35"/>
    </row>
    <row r="300">
      <c r="A300" s="36"/>
      <c r="L300" s="37"/>
      <c r="V300" s="32"/>
      <c r="X300" s="35"/>
      <c r="Y300" s="35"/>
      <c r="Z300" s="35"/>
    </row>
    <row r="301">
      <c r="A301" s="36"/>
      <c r="L301" s="37"/>
      <c r="V301" s="32"/>
      <c r="X301" s="35"/>
      <c r="Y301" s="35"/>
      <c r="Z301" s="35"/>
    </row>
    <row r="302">
      <c r="A302" s="36"/>
      <c r="L302" s="37"/>
      <c r="V302" s="32"/>
      <c r="X302" s="35"/>
      <c r="Y302" s="35"/>
      <c r="Z302" s="35"/>
    </row>
    <row r="303">
      <c r="A303" s="36"/>
      <c r="L303" s="37"/>
      <c r="V303" s="32"/>
      <c r="X303" s="35"/>
      <c r="Y303" s="35"/>
      <c r="Z303" s="35"/>
    </row>
    <row r="304">
      <c r="A304" s="36"/>
      <c r="L304" s="37"/>
      <c r="V304" s="32"/>
      <c r="X304" s="35"/>
      <c r="Y304" s="35"/>
      <c r="Z304" s="35"/>
    </row>
    <row r="305">
      <c r="A305" s="36"/>
      <c r="L305" s="37"/>
      <c r="V305" s="32"/>
      <c r="X305" s="35"/>
      <c r="Y305" s="35"/>
      <c r="Z305" s="35"/>
    </row>
    <row r="306">
      <c r="A306" s="36"/>
      <c r="L306" s="37"/>
      <c r="V306" s="32"/>
      <c r="X306" s="35"/>
      <c r="Y306" s="35"/>
      <c r="Z306" s="35"/>
    </row>
    <row r="307">
      <c r="A307" s="36"/>
      <c r="L307" s="37"/>
      <c r="V307" s="32"/>
      <c r="X307" s="35"/>
      <c r="Y307" s="35"/>
      <c r="Z307" s="35"/>
    </row>
    <row r="308">
      <c r="A308" s="36"/>
      <c r="L308" s="37"/>
      <c r="V308" s="32"/>
      <c r="X308" s="35"/>
      <c r="Y308" s="35"/>
      <c r="Z308" s="35"/>
    </row>
    <row r="309">
      <c r="A309" s="36"/>
      <c r="L309" s="37"/>
      <c r="V309" s="32"/>
      <c r="X309" s="35"/>
      <c r="Y309" s="35"/>
      <c r="Z309" s="35"/>
    </row>
    <row r="310">
      <c r="A310" s="36"/>
      <c r="L310" s="37"/>
      <c r="V310" s="32"/>
      <c r="X310" s="35"/>
      <c r="Y310" s="35"/>
      <c r="Z310" s="35"/>
    </row>
    <row r="311">
      <c r="A311" s="36"/>
      <c r="L311" s="37"/>
      <c r="V311" s="32"/>
      <c r="X311" s="35"/>
      <c r="Y311" s="35"/>
      <c r="Z311" s="35"/>
    </row>
    <row r="312">
      <c r="A312" s="36"/>
      <c r="L312" s="37"/>
      <c r="V312" s="32"/>
      <c r="X312" s="35"/>
      <c r="Y312" s="35"/>
      <c r="Z312" s="35"/>
    </row>
    <row r="313">
      <c r="A313" s="36"/>
      <c r="L313" s="37"/>
      <c r="V313" s="32"/>
      <c r="X313" s="35"/>
      <c r="Y313" s="35"/>
      <c r="Z313" s="35"/>
    </row>
    <row r="314">
      <c r="A314" s="36"/>
      <c r="L314" s="37"/>
      <c r="V314" s="32"/>
      <c r="X314" s="35"/>
      <c r="Y314" s="35"/>
      <c r="Z314" s="35"/>
    </row>
    <row r="315">
      <c r="A315" s="36"/>
      <c r="L315" s="37"/>
      <c r="V315" s="32"/>
      <c r="X315" s="35"/>
      <c r="Y315" s="35"/>
      <c r="Z315" s="35"/>
    </row>
    <row r="316">
      <c r="A316" s="36"/>
      <c r="L316" s="37"/>
      <c r="V316" s="32"/>
      <c r="X316" s="35"/>
      <c r="Y316" s="35"/>
      <c r="Z316" s="35"/>
    </row>
    <row r="317">
      <c r="A317" s="36"/>
      <c r="L317" s="37"/>
      <c r="V317" s="32"/>
      <c r="X317" s="35"/>
      <c r="Y317" s="35"/>
      <c r="Z317" s="35"/>
    </row>
    <row r="318">
      <c r="A318" s="36"/>
      <c r="L318" s="37"/>
      <c r="V318" s="32"/>
      <c r="X318" s="35"/>
      <c r="Y318" s="35"/>
      <c r="Z318" s="35"/>
    </row>
    <row r="319">
      <c r="A319" s="36"/>
      <c r="L319" s="37"/>
      <c r="V319" s="32"/>
      <c r="X319" s="35"/>
      <c r="Y319" s="35"/>
      <c r="Z319" s="35"/>
    </row>
    <row r="320">
      <c r="A320" s="36"/>
      <c r="L320" s="37"/>
      <c r="V320" s="32"/>
      <c r="X320" s="35"/>
      <c r="Y320" s="35"/>
      <c r="Z320" s="35"/>
    </row>
    <row r="321">
      <c r="A321" s="36"/>
      <c r="L321" s="37"/>
      <c r="V321" s="32"/>
      <c r="X321" s="35"/>
      <c r="Y321" s="35"/>
      <c r="Z321" s="35"/>
    </row>
    <row r="322">
      <c r="A322" s="36"/>
      <c r="L322" s="37"/>
      <c r="V322" s="32"/>
      <c r="X322" s="35"/>
      <c r="Y322" s="35"/>
      <c r="Z322" s="35"/>
    </row>
    <row r="323">
      <c r="A323" s="36"/>
      <c r="L323" s="37"/>
      <c r="V323" s="32"/>
      <c r="X323" s="35"/>
      <c r="Y323" s="35"/>
      <c r="Z323" s="35"/>
    </row>
    <row r="324">
      <c r="A324" s="36"/>
      <c r="L324" s="37"/>
      <c r="V324" s="32"/>
      <c r="X324" s="35"/>
      <c r="Y324" s="35"/>
      <c r="Z324" s="35"/>
    </row>
    <row r="325">
      <c r="A325" s="36"/>
      <c r="L325" s="37"/>
      <c r="V325" s="32"/>
      <c r="X325" s="35"/>
      <c r="Y325" s="35"/>
      <c r="Z325" s="35"/>
    </row>
    <row r="326">
      <c r="A326" s="36"/>
      <c r="L326" s="37"/>
      <c r="V326" s="32"/>
      <c r="X326" s="35"/>
      <c r="Y326" s="35"/>
      <c r="Z326" s="35"/>
    </row>
    <row r="327">
      <c r="A327" s="36"/>
      <c r="L327" s="37"/>
      <c r="V327" s="32"/>
      <c r="X327" s="35"/>
      <c r="Y327" s="35"/>
      <c r="Z327" s="35"/>
    </row>
    <row r="328">
      <c r="A328" s="36"/>
      <c r="L328" s="37"/>
      <c r="V328" s="32"/>
      <c r="X328" s="35"/>
      <c r="Y328" s="35"/>
      <c r="Z328" s="35"/>
    </row>
    <row r="329">
      <c r="A329" s="36"/>
      <c r="L329" s="37"/>
      <c r="V329" s="32"/>
      <c r="X329" s="35"/>
      <c r="Y329" s="35"/>
      <c r="Z329" s="35"/>
    </row>
    <row r="330">
      <c r="A330" s="36"/>
      <c r="L330" s="37"/>
      <c r="V330" s="32"/>
      <c r="X330" s="35"/>
      <c r="Y330" s="35"/>
      <c r="Z330" s="35"/>
    </row>
    <row r="331">
      <c r="A331" s="36"/>
      <c r="L331" s="37"/>
      <c r="V331" s="32"/>
      <c r="X331" s="35"/>
      <c r="Y331" s="35"/>
      <c r="Z331" s="35"/>
    </row>
    <row r="332">
      <c r="A332" s="36"/>
      <c r="L332" s="37"/>
      <c r="V332" s="32"/>
      <c r="X332" s="35"/>
      <c r="Y332" s="35"/>
      <c r="Z332" s="35"/>
    </row>
    <row r="333">
      <c r="A333" s="36"/>
      <c r="L333" s="37"/>
      <c r="V333" s="32"/>
      <c r="X333" s="35"/>
      <c r="Y333" s="35"/>
      <c r="Z333" s="35"/>
    </row>
    <row r="334">
      <c r="A334" s="36"/>
      <c r="L334" s="37"/>
      <c r="V334" s="32"/>
      <c r="X334" s="35"/>
      <c r="Y334" s="35"/>
      <c r="Z334" s="35"/>
    </row>
    <row r="335">
      <c r="A335" s="36"/>
      <c r="L335" s="37"/>
      <c r="V335" s="32"/>
      <c r="X335" s="35"/>
      <c r="Y335" s="35"/>
      <c r="Z335" s="35"/>
    </row>
    <row r="336">
      <c r="A336" s="36"/>
      <c r="L336" s="37"/>
      <c r="V336" s="32"/>
      <c r="X336" s="35"/>
      <c r="Y336" s="35"/>
      <c r="Z336" s="35"/>
    </row>
    <row r="337">
      <c r="A337" s="36"/>
      <c r="L337" s="37"/>
      <c r="V337" s="32"/>
      <c r="X337" s="35"/>
      <c r="Y337" s="35"/>
      <c r="Z337" s="35"/>
    </row>
    <row r="338">
      <c r="A338" s="36"/>
      <c r="L338" s="37"/>
      <c r="V338" s="32"/>
      <c r="X338" s="35"/>
      <c r="Y338" s="35"/>
      <c r="Z338" s="35"/>
    </row>
    <row r="339">
      <c r="A339" s="36"/>
      <c r="L339" s="37"/>
      <c r="V339" s="32"/>
      <c r="X339" s="35"/>
      <c r="Y339" s="35"/>
      <c r="Z339" s="35"/>
    </row>
    <row r="340">
      <c r="A340" s="36"/>
      <c r="L340" s="37"/>
      <c r="V340" s="32"/>
      <c r="X340" s="35"/>
      <c r="Y340" s="35"/>
      <c r="Z340" s="35"/>
    </row>
    <row r="341">
      <c r="A341" s="36"/>
      <c r="L341" s="37"/>
      <c r="V341" s="32"/>
      <c r="X341" s="35"/>
      <c r="Y341" s="35"/>
      <c r="Z341" s="35"/>
    </row>
    <row r="342">
      <c r="A342" s="36"/>
      <c r="L342" s="37"/>
      <c r="V342" s="32"/>
      <c r="X342" s="35"/>
      <c r="Y342" s="35"/>
      <c r="Z342" s="35"/>
    </row>
    <row r="343">
      <c r="A343" s="36"/>
      <c r="L343" s="37"/>
      <c r="V343" s="32"/>
      <c r="X343" s="35"/>
      <c r="Y343" s="35"/>
      <c r="Z343" s="35"/>
    </row>
    <row r="344">
      <c r="A344" s="36"/>
      <c r="L344" s="37"/>
      <c r="V344" s="32"/>
      <c r="X344" s="35"/>
      <c r="Y344" s="35"/>
      <c r="Z344" s="35"/>
    </row>
    <row r="345">
      <c r="A345" s="36"/>
      <c r="L345" s="37"/>
      <c r="V345" s="32"/>
      <c r="X345" s="35"/>
      <c r="Y345" s="35"/>
      <c r="Z345" s="35"/>
    </row>
    <row r="346">
      <c r="A346" s="36"/>
      <c r="L346" s="37"/>
      <c r="V346" s="32"/>
      <c r="X346" s="35"/>
      <c r="Y346" s="35"/>
      <c r="Z346" s="35"/>
    </row>
    <row r="347">
      <c r="A347" s="36"/>
      <c r="L347" s="37"/>
      <c r="V347" s="32"/>
      <c r="X347" s="35"/>
      <c r="Y347" s="35"/>
      <c r="Z347" s="35"/>
    </row>
    <row r="348">
      <c r="A348" s="36"/>
      <c r="L348" s="37"/>
      <c r="V348" s="32"/>
      <c r="X348" s="35"/>
      <c r="Y348" s="35"/>
      <c r="Z348" s="35"/>
    </row>
    <row r="349">
      <c r="A349" s="36"/>
      <c r="L349" s="37"/>
      <c r="V349" s="32"/>
      <c r="X349" s="35"/>
      <c r="Y349" s="35"/>
      <c r="Z349" s="35"/>
    </row>
    <row r="350">
      <c r="A350" s="36"/>
      <c r="L350" s="37"/>
      <c r="V350" s="32"/>
      <c r="X350" s="35"/>
      <c r="Y350" s="35"/>
      <c r="Z350" s="35"/>
    </row>
    <row r="351">
      <c r="A351" s="36"/>
      <c r="L351" s="37"/>
      <c r="V351" s="32"/>
      <c r="X351" s="35"/>
      <c r="Y351" s="35"/>
      <c r="Z351" s="35"/>
    </row>
    <row r="352">
      <c r="A352" s="36"/>
      <c r="L352" s="37"/>
      <c r="V352" s="32"/>
      <c r="X352" s="35"/>
      <c r="Y352" s="35"/>
      <c r="Z352" s="35"/>
    </row>
    <row r="353">
      <c r="A353" s="36"/>
      <c r="L353" s="37"/>
      <c r="V353" s="32"/>
      <c r="X353" s="35"/>
      <c r="Y353" s="35"/>
      <c r="Z353" s="35"/>
    </row>
    <row r="354">
      <c r="A354" s="36"/>
      <c r="L354" s="37"/>
      <c r="V354" s="32"/>
      <c r="X354" s="35"/>
      <c r="Y354" s="35"/>
      <c r="Z354" s="35"/>
    </row>
    <row r="355">
      <c r="A355" s="36"/>
      <c r="L355" s="37"/>
      <c r="V355" s="32"/>
      <c r="X355" s="35"/>
      <c r="Y355" s="35"/>
      <c r="Z355" s="35"/>
    </row>
    <row r="356">
      <c r="A356" s="36"/>
      <c r="L356" s="37"/>
      <c r="V356" s="32"/>
      <c r="X356" s="35"/>
      <c r="Y356" s="35"/>
      <c r="Z356" s="35"/>
    </row>
    <row r="357">
      <c r="A357" s="36"/>
      <c r="L357" s="37"/>
      <c r="V357" s="32"/>
      <c r="X357" s="35"/>
      <c r="Y357" s="35"/>
      <c r="Z357" s="35"/>
    </row>
    <row r="358">
      <c r="A358" s="36"/>
      <c r="L358" s="37"/>
      <c r="V358" s="32"/>
      <c r="X358" s="35"/>
      <c r="Y358" s="35"/>
      <c r="Z358" s="35"/>
    </row>
    <row r="359">
      <c r="A359" s="36"/>
      <c r="L359" s="37"/>
      <c r="V359" s="32"/>
      <c r="X359" s="35"/>
      <c r="Y359" s="35"/>
      <c r="Z359" s="35"/>
    </row>
    <row r="360">
      <c r="A360" s="36"/>
      <c r="L360" s="37"/>
      <c r="V360" s="32"/>
      <c r="X360" s="35"/>
      <c r="Y360" s="35"/>
      <c r="Z360" s="35"/>
    </row>
    <row r="361">
      <c r="A361" s="36"/>
      <c r="L361" s="37"/>
      <c r="V361" s="32"/>
      <c r="X361" s="35"/>
      <c r="Y361" s="35"/>
      <c r="Z361" s="35"/>
    </row>
    <row r="362">
      <c r="A362" s="36"/>
      <c r="L362" s="37"/>
      <c r="V362" s="32"/>
      <c r="X362" s="35"/>
      <c r="Y362" s="35"/>
      <c r="Z362" s="35"/>
    </row>
    <row r="363">
      <c r="A363" s="36"/>
      <c r="L363" s="37"/>
      <c r="V363" s="32"/>
      <c r="X363" s="35"/>
      <c r="Y363" s="35"/>
      <c r="Z363" s="35"/>
    </row>
    <row r="364">
      <c r="A364" s="36"/>
      <c r="L364" s="37"/>
      <c r="V364" s="32"/>
      <c r="X364" s="35"/>
      <c r="Y364" s="35"/>
      <c r="Z364" s="35"/>
    </row>
    <row r="365">
      <c r="A365" s="36"/>
      <c r="L365" s="37"/>
      <c r="V365" s="32"/>
      <c r="X365" s="35"/>
      <c r="Y365" s="35"/>
      <c r="Z365" s="35"/>
    </row>
    <row r="366">
      <c r="A366" s="36"/>
      <c r="L366" s="37"/>
      <c r="V366" s="32"/>
      <c r="X366" s="35"/>
      <c r="Y366" s="35"/>
      <c r="Z366" s="35"/>
    </row>
    <row r="367">
      <c r="A367" s="36"/>
      <c r="L367" s="37"/>
      <c r="V367" s="32"/>
      <c r="X367" s="35"/>
      <c r="Y367" s="35"/>
      <c r="Z367" s="35"/>
    </row>
    <row r="368">
      <c r="A368" s="36"/>
      <c r="L368" s="37"/>
      <c r="V368" s="32"/>
      <c r="X368" s="35"/>
      <c r="Y368" s="35"/>
      <c r="Z368" s="35"/>
    </row>
    <row r="369">
      <c r="A369" s="36"/>
      <c r="L369" s="37"/>
      <c r="V369" s="32"/>
      <c r="X369" s="35"/>
      <c r="Y369" s="35"/>
      <c r="Z369" s="35"/>
    </row>
    <row r="370">
      <c r="A370" s="36"/>
      <c r="L370" s="37"/>
      <c r="V370" s="32"/>
      <c r="X370" s="35"/>
      <c r="Y370" s="35"/>
      <c r="Z370" s="35"/>
    </row>
    <row r="371">
      <c r="A371" s="36"/>
      <c r="L371" s="37"/>
      <c r="V371" s="32"/>
      <c r="X371" s="35"/>
      <c r="Y371" s="35"/>
      <c r="Z371" s="35"/>
    </row>
    <row r="372">
      <c r="A372" s="36"/>
      <c r="L372" s="37"/>
      <c r="V372" s="32"/>
      <c r="X372" s="35"/>
      <c r="Y372" s="35"/>
      <c r="Z372" s="35"/>
    </row>
    <row r="373">
      <c r="A373" s="36"/>
      <c r="L373" s="37"/>
      <c r="V373" s="32"/>
      <c r="X373" s="35"/>
      <c r="Y373" s="35"/>
      <c r="Z373" s="35"/>
    </row>
    <row r="374">
      <c r="A374" s="36"/>
      <c r="L374" s="37"/>
      <c r="V374" s="32"/>
      <c r="X374" s="35"/>
      <c r="Y374" s="35"/>
      <c r="Z374" s="35"/>
    </row>
    <row r="375">
      <c r="A375" s="36"/>
      <c r="L375" s="37"/>
      <c r="V375" s="32"/>
      <c r="X375" s="35"/>
      <c r="Y375" s="35"/>
      <c r="Z375" s="35"/>
    </row>
    <row r="376">
      <c r="A376" s="36"/>
      <c r="L376" s="37"/>
      <c r="V376" s="32"/>
      <c r="X376" s="35"/>
      <c r="Y376" s="35"/>
      <c r="Z376" s="35"/>
    </row>
    <row r="377">
      <c r="A377" s="36"/>
      <c r="L377" s="37"/>
      <c r="V377" s="32"/>
      <c r="X377" s="35"/>
      <c r="Y377" s="35"/>
      <c r="Z377" s="35"/>
    </row>
    <row r="378">
      <c r="A378" s="36"/>
      <c r="L378" s="37"/>
      <c r="V378" s="32"/>
      <c r="X378" s="35"/>
      <c r="Y378" s="35"/>
      <c r="Z378" s="35"/>
    </row>
    <row r="379">
      <c r="A379" s="36"/>
      <c r="L379" s="37"/>
      <c r="V379" s="32"/>
      <c r="X379" s="35"/>
      <c r="Y379" s="35"/>
      <c r="Z379" s="35"/>
    </row>
    <row r="380">
      <c r="A380" s="36"/>
      <c r="L380" s="37"/>
      <c r="V380" s="32"/>
      <c r="X380" s="35"/>
      <c r="Y380" s="35"/>
      <c r="Z380" s="35"/>
    </row>
    <row r="381">
      <c r="A381" s="36"/>
      <c r="L381" s="37"/>
      <c r="V381" s="32"/>
      <c r="X381" s="35"/>
      <c r="Y381" s="35"/>
      <c r="Z381" s="35"/>
    </row>
    <row r="382">
      <c r="A382" s="36"/>
      <c r="L382" s="37"/>
      <c r="V382" s="32"/>
      <c r="X382" s="35"/>
      <c r="Y382" s="35"/>
      <c r="Z382" s="35"/>
    </row>
    <row r="383">
      <c r="A383" s="36"/>
      <c r="L383" s="37"/>
      <c r="V383" s="32"/>
      <c r="X383" s="35"/>
      <c r="Y383" s="35"/>
      <c r="Z383" s="35"/>
    </row>
    <row r="384">
      <c r="A384" s="36"/>
      <c r="L384" s="37"/>
      <c r="V384" s="32"/>
      <c r="X384" s="35"/>
      <c r="Y384" s="35"/>
      <c r="Z384" s="35"/>
    </row>
    <row r="385">
      <c r="A385" s="36"/>
      <c r="L385" s="37"/>
      <c r="V385" s="32"/>
      <c r="X385" s="35"/>
      <c r="Y385" s="35"/>
      <c r="Z385" s="35"/>
    </row>
    <row r="386">
      <c r="A386" s="36"/>
      <c r="L386" s="37"/>
      <c r="V386" s="32"/>
      <c r="X386" s="35"/>
      <c r="Y386" s="35"/>
      <c r="Z386" s="35"/>
    </row>
    <row r="387">
      <c r="A387" s="36"/>
      <c r="L387" s="37"/>
      <c r="V387" s="32"/>
      <c r="X387" s="35"/>
      <c r="Y387" s="35"/>
      <c r="Z387" s="35"/>
    </row>
    <row r="388">
      <c r="A388" s="36"/>
      <c r="L388" s="37"/>
      <c r="V388" s="32"/>
      <c r="X388" s="35"/>
      <c r="Y388" s="35"/>
      <c r="Z388" s="35"/>
    </row>
    <row r="389">
      <c r="A389" s="36"/>
      <c r="L389" s="37"/>
      <c r="V389" s="32"/>
      <c r="X389" s="35"/>
      <c r="Y389" s="35"/>
      <c r="Z389" s="35"/>
    </row>
    <row r="390">
      <c r="A390" s="36"/>
      <c r="L390" s="37"/>
      <c r="V390" s="32"/>
      <c r="X390" s="35"/>
      <c r="Y390" s="35"/>
      <c r="Z390" s="35"/>
    </row>
    <row r="391">
      <c r="A391" s="36"/>
      <c r="L391" s="37"/>
      <c r="V391" s="32"/>
      <c r="X391" s="35"/>
      <c r="Y391" s="35"/>
      <c r="Z391" s="35"/>
    </row>
    <row r="392">
      <c r="A392" s="36"/>
      <c r="L392" s="37"/>
      <c r="V392" s="32"/>
      <c r="X392" s="35"/>
      <c r="Y392" s="35"/>
      <c r="Z392" s="35"/>
    </row>
    <row r="393">
      <c r="A393" s="36"/>
      <c r="L393" s="37"/>
      <c r="V393" s="32"/>
      <c r="X393" s="35"/>
      <c r="Y393" s="35"/>
      <c r="Z393" s="35"/>
    </row>
    <row r="394">
      <c r="A394" s="36"/>
      <c r="L394" s="37"/>
      <c r="V394" s="32"/>
      <c r="X394" s="35"/>
      <c r="Y394" s="35"/>
      <c r="Z394" s="35"/>
    </row>
    <row r="395">
      <c r="A395" s="36"/>
      <c r="L395" s="37"/>
      <c r="V395" s="32"/>
      <c r="X395" s="35"/>
      <c r="Y395" s="35"/>
      <c r="Z395" s="35"/>
    </row>
    <row r="396">
      <c r="A396" s="36"/>
      <c r="L396" s="37"/>
      <c r="V396" s="32"/>
      <c r="X396" s="35"/>
      <c r="Y396" s="35"/>
      <c r="Z396" s="35"/>
    </row>
    <row r="397">
      <c r="A397" s="36"/>
      <c r="L397" s="37"/>
      <c r="V397" s="32"/>
      <c r="X397" s="35"/>
      <c r="Y397" s="35"/>
      <c r="Z397" s="35"/>
    </row>
    <row r="398">
      <c r="A398" s="36"/>
      <c r="L398" s="37"/>
      <c r="V398" s="32"/>
      <c r="X398" s="35"/>
      <c r="Y398" s="35"/>
      <c r="Z398" s="35"/>
    </row>
    <row r="399">
      <c r="A399" s="36"/>
      <c r="L399" s="37"/>
      <c r="V399" s="32"/>
      <c r="X399" s="35"/>
      <c r="Y399" s="35"/>
      <c r="Z399" s="35"/>
    </row>
    <row r="400">
      <c r="A400" s="36"/>
      <c r="L400" s="37"/>
      <c r="V400" s="32"/>
      <c r="X400" s="35"/>
      <c r="Y400" s="35"/>
      <c r="Z400" s="35"/>
    </row>
    <row r="401">
      <c r="A401" s="36"/>
      <c r="L401" s="37"/>
      <c r="V401" s="32"/>
      <c r="X401" s="35"/>
      <c r="Y401" s="35"/>
      <c r="Z401" s="35"/>
    </row>
    <row r="402">
      <c r="A402" s="36"/>
      <c r="L402" s="37"/>
      <c r="V402" s="32"/>
      <c r="X402" s="35"/>
      <c r="Y402" s="35"/>
      <c r="Z402" s="35"/>
    </row>
    <row r="403">
      <c r="A403" s="36"/>
      <c r="L403" s="37"/>
      <c r="V403" s="32"/>
      <c r="X403" s="35"/>
      <c r="Y403" s="35"/>
      <c r="Z403" s="35"/>
    </row>
    <row r="404">
      <c r="A404" s="36"/>
      <c r="L404" s="37"/>
      <c r="V404" s="32"/>
      <c r="X404" s="35"/>
      <c r="Y404" s="35"/>
      <c r="Z404" s="35"/>
    </row>
    <row r="405">
      <c r="A405" s="36"/>
      <c r="L405" s="37"/>
      <c r="V405" s="32"/>
      <c r="X405" s="35"/>
      <c r="Y405" s="35"/>
      <c r="Z405" s="35"/>
    </row>
    <row r="406">
      <c r="A406" s="36"/>
      <c r="L406" s="37"/>
      <c r="V406" s="32"/>
      <c r="X406" s="35"/>
      <c r="Y406" s="35"/>
      <c r="Z406" s="35"/>
    </row>
    <row r="407">
      <c r="A407" s="36"/>
      <c r="L407" s="37"/>
      <c r="V407" s="32"/>
      <c r="X407" s="35"/>
      <c r="Y407" s="35"/>
      <c r="Z407" s="35"/>
    </row>
    <row r="408">
      <c r="A408" s="36"/>
      <c r="L408" s="37"/>
      <c r="V408" s="32"/>
      <c r="X408" s="35"/>
      <c r="Y408" s="35"/>
      <c r="Z408" s="35"/>
    </row>
    <row r="409">
      <c r="A409" s="36"/>
      <c r="L409" s="37"/>
      <c r="V409" s="32"/>
      <c r="X409" s="35"/>
      <c r="Y409" s="35"/>
      <c r="Z409" s="35"/>
    </row>
    <row r="410">
      <c r="A410" s="36"/>
      <c r="L410" s="37"/>
      <c r="V410" s="32"/>
      <c r="X410" s="35"/>
      <c r="Y410" s="35"/>
      <c r="Z410" s="35"/>
    </row>
    <row r="411">
      <c r="A411" s="36"/>
      <c r="L411" s="37"/>
      <c r="V411" s="32"/>
      <c r="X411" s="35"/>
      <c r="Y411" s="35"/>
      <c r="Z411" s="35"/>
    </row>
    <row r="412">
      <c r="A412" s="36"/>
      <c r="L412" s="37"/>
      <c r="V412" s="32"/>
      <c r="X412" s="35"/>
      <c r="Y412" s="35"/>
      <c r="Z412" s="35"/>
    </row>
    <row r="413">
      <c r="A413" s="36"/>
      <c r="L413" s="37"/>
      <c r="V413" s="32"/>
      <c r="X413" s="35"/>
      <c r="Y413" s="35"/>
      <c r="Z413" s="35"/>
    </row>
    <row r="414">
      <c r="A414" s="36"/>
      <c r="L414" s="37"/>
      <c r="V414" s="32"/>
      <c r="X414" s="35"/>
      <c r="Y414" s="35"/>
      <c r="Z414" s="35"/>
    </row>
    <row r="415">
      <c r="A415" s="36"/>
      <c r="L415" s="37"/>
      <c r="V415" s="32"/>
      <c r="X415" s="35"/>
      <c r="Y415" s="35"/>
      <c r="Z415" s="35"/>
    </row>
    <row r="416">
      <c r="A416" s="36"/>
      <c r="L416" s="37"/>
      <c r="V416" s="32"/>
      <c r="X416" s="35"/>
      <c r="Y416" s="35"/>
      <c r="Z416" s="35"/>
    </row>
    <row r="417">
      <c r="A417" s="36"/>
      <c r="L417" s="37"/>
      <c r="V417" s="32"/>
      <c r="X417" s="35"/>
      <c r="Y417" s="35"/>
      <c r="Z417" s="35"/>
    </row>
    <row r="418">
      <c r="A418" s="36"/>
      <c r="L418" s="37"/>
      <c r="V418" s="32"/>
      <c r="X418" s="35"/>
      <c r="Y418" s="35"/>
      <c r="Z418" s="35"/>
    </row>
    <row r="419">
      <c r="A419" s="36"/>
      <c r="L419" s="37"/>
      <c r="V419" s="32"/>
      <c r="X419" s="35"/>
      <c r="Y419" s="35"/>
      <c r="Z419" s="35"/>
    </row>
    <row r="420">
      <c r="A420" s="36"/>
      <c r="L420" s="37"/>
      <c r="V420" s="32"/>
      <c r="X420" s="35"/>
      <c r="Y420" s="35"/>
      <c r="Z420" s="35"/>
    </row>
    <row r="421">
      <c r="A421" s="36"/>
      <c r="L421" s="37"/>
      <c r="V421" s="32"/>
      <c r="X421" s="35"/>
      <c r="Y421" s="35"/>
      <c r="Z421" s="35"/>
    </row>
    <row r="422">
      <c r="A422" s="36"/>
      <c r="L422" s="37"/>
      <c r="V422" s="32"/>
      <c r="X422" s="35"/>
      <c r="Y422" s="35"/>
      <c r="Z422" s="35"/>
    </row>
    <row r="423">
      <c r="A423" s="36"/>
      <c r="L423" s="37"/>
      <c r="V423" s="32"/>
      <c r="X423" s="35"/>
      <c r="Y423" s="35"/>
      <c r="Z423" s="35"/>
    </row>
    <row r="424">
      <c r="A424" s="36"/>
      <c r="L424" s="37"/>
      <c r="V424" s="32"/>
      <c r="X424" s="35"/>
      <c r="Y424" s="35"/>
      <c r="Z424" s="35"/>
    </row>
    <row r="425">
      <c r="A425" s="36"/>
      <c r="L425" s="37"/>
      <c r="V425" s="32"/>
      <c r="X425" s="35"/>
      <c r="Y425" s="35"/>
      <c r="Z425" s="35"/>
    </row>
    <row r="426">
      <c r="A426" s="36"/>
      <c r="L426" s="37"/>
      <c r="V426" s="32"/>
      <c r="X426" s="35"/>
      <c r="Y426" s="35"/>
      <c r="Z426" s="35"/>
    </row>
    <row r="427">
      <c r="A427" s="36"/>
      <c r="L427" s="37"/>
      <c r="V427" s="32"/>
      <c r="X427" s="35"/>
      <c r="Y427" s="35"/>
      <c r="Z427" s="35"/>
    </row>
    <row r="428">
      <c r="A428" s="36"/>
      <c r="L428" s="37"/>
      <c r="V428" s="32"/>
      <c r="X428" s="35"/>
      <c r="Y428" s="35"/>
      <c r="Z428" s="35"/>
    </row>
    <row r="429">
      <c r="A429" s="36"/>
      <c r="L429" s="37"/>
      <c r="V429" s="32"/>
      <c r="X429" s="35"/>
      <c r="Y429" s="35"/>
      <c r="Z429" s="35"/>
    </row>
    <row r="430">
      <c r="A430" s="36"/>
      <c r="L430" s="37"/>
      <c r="V430" s="32"/>
      <c r="X430" s="35"/>
      <c r="Y430" s="35"/>
      <c r="Z430" s="35"/>
    </row>
    <row r="431">
      <c r="A431" s="36"/>
      <c r="L431" s="37"/>
      <c r="V431" s="32"/>
      <c r="X431" s="35"/>
      <c r="Y431" s="35"/>
      <c r="Z431" s="35"/>
    </row>
    <row r="432">
      <c r="A432" s="36"/>
      <c r="L432" s="37"/>
      <c r="V432" s="32"/>
      <c r="X432" s="35"/>
      <c r="Y432" s="35"/>
      <c r="Z432" s="35"/>
    </row>
    <row r="433">
      <c r="A433" s="36"/>
      <c r="L433" s="37"/>
      <c r="V433" s="32"/>
      <c r="X433" s="35"/>
      <c r="Y433" s="35"/>
      <c r="Z433" s="35"/>
    </row>
    <row r="434">
      <c r="A434" s="36"/>
      <c r="L434" s="37"/>
      <c r="V434" s="32"/>
      <c r="X434" s="35"/>
      <c r="Y434" s="35"/>
      <c r="Z434" s="35"/>
    </row>
    <row r="435">
      <c r="A435" s="36"/>
      <c r="L435" s="37"/>
      <c r="V435" s="32"/>
      <c r="X435" s="35"/>
      <c r="Y435" s="35"/>
      <c r="Z435" s="35"/>
    </row>
    <row r="436">
      <c r="A436" s="36"/>
      <c r="L436" s="37"/>
      <c r="V436" s="32"/>
      <c r="X436" s="35"/>
      <c r="Y436" s="35"/>
      <c r="Z436" s="35"/>
    </row>
    <row r="437">
      <c r="A437" s="36"/>
      <c r="L437" s="37"/>
      <c r="V437" s="32"/>
      <c r="X437" s="35"/>
      <c r="Y437" s="35"/>
      <c r="Z437" s="35"/>
    </row>
    <row r="438">
      <c r="A438" s="36"/>
      <c r="L438" s="37"/>
      <c r="V438" s="32"/>
      <c r="X438" s="35"/>
      <c r="Y438" s="35"/>
      <c r="Z438" s="35"/>
    </row>
    <row r="439">
      <c r="A439" s="36"/>
      <c r="L439" s="37"/>
      <c r="V439" s="32"/>
      <c r="X439" s="35"/>
      <c r="Y439" s="35"/>
      <c r="Z439" s="35"/>
    </row>
    <row r="440">
      <c r="A440" s="36"/>
      <c r="L440" s="37"/>
      <c r="V440" s="32"/>
      <c r="X440" s="35"/>
      <c r="Y440" s="35"/>
      <c r="Z440" s="35"/>
    </row>
    <row r="441">
      <c r="A441" s="36"/>
      <c r="L441" s="37"/>
      <c r="V441" s="32"/>
      <c r="X441" s="35"/>
      <c r="Y441" s="35"/>
      <c r="Z441" s="35"/>
    </row>
    <row r="442">
      <c r="A442" s="36"/>
      <c r="L442" s="37"/>
      <c r="V442" s="32"/>
      <c r="X442" s="35"/>
      <c r="Y442" s="35"/>
      <c r="Z442" s="35"/>
    </row>
    <row r="443">
      <c r="A443" s="36"/>
      <c r="L443" s="37"/>
      <c r="V443" s="32"/>
      <c r="X443" s="35"/>
      <c r="Y443" s="35"/>
      <c r="Z443" s="35"/>
    </row>
    <row r="444">
      <c r="A444" s="36"/>
      <c r="L444" s="37"/>
      <c r="V444" s="32"/>
      <c r="X444" s="35"/>
      <c r="Y444" s="35"/>
      <c r="Z444" s="35"/>
    </row>
    <row r="445">
      <c r="A445" s="36"/>
      <c r="L445" s="37"/>
      <c r="V445" s="32"/>
      <c r="X445" s="35"/>
      <c r="Y445" s="35"/>
      <c r="Z445" s="35"/>
    </row>
    <row r="446">
      <c r="A446" s="36"/>
      <c r="L446" s="37"/>
      <c r="V446" s="32"/>
      <c r="X446" s="35"/>
      <c r="Y446" s="35"/>
      <c r="Z446" s="35"/>
    </row>
    <row r="447">
      <c r="A447" s="36"/>
      <c r="L447" s="37"/>
      <c r="V447" s="32"/>
      <c r="X447" s="35"/>
      <c r="Y447" s="35"/>
      <c r="Z447" s="35"/>
    </row>
    <row r="448">
      <c r="A448" s="36"/>
      <c r="L448" s="37"/>
      <c r="V448" s="32"/>
      <c r="X448" s="35"/>
      <c r="Y448" s="35"/>
      <c r="Z448" s="35"/>
    </row>
    <row r="449">
      <c r="A449" s="36"/>
      <c r="L449" s="37"/>
      <c r="V449" s="32"/>
      <c r="X449" s="35"/>
      <c r="Y449" s="35"/>
      <c r="Z449" s="35"/>
    </row>
    <row r="450">
      <c r="A450" s="36"/>
      <c r="L450" s="37"/>
      <c r="V450" s="32"/>
      <c r="X450" s="35"/>
      <c r="Y450" s="35"/>
      <c r="Z450" s="35"/>
    </row>
    <row r="451">
      <c r="A451" s="36"/>
      <c r="L451" s="37"/>
      <c r="V451" s="32"/>
      <c r="X451" s="35"/>
      <c r="Y451" s="35"/>
      <c r="Z451" s="35"/>
    </row>
    <row r="452">
      <c r="A452" s="36"/>
      <c r="L452" s="37"/>
      <c r="V452" s="32"/>
      <c r="X452" s="35"/>
      <c r="Y452" s="35"/>
      <c r="Z452" s="35"/>
    </row>
    <row r="453">
      <c r="A453" s="36"/>
      <c r="L453" s="37"/>
      <c r="V453" s="32"/>
      <c r="X453" s="35"/>
      <c r="Y453" s="35"/>
      <c r="Z453" s="35"/>
    </row>
    <row r="454">
      <c r="A454" s="36"/>
      <c r="L454" s="37"/>
      <c r="V454" s="32"/>
      <c r="X454" s="35"/>
      <c r="Y454" s="35"/>
      <c r="Z454" s="35"/>
    </row>
    <row r="455">
      <c r="A455" s="36"/>
      <c r="L455" s="37"/>
      <c r="V455" s="32"/>
      <c r="X455" s="35"/>
      <c r="Y455" s="35"/>
      <c r="Z455" s="35"/>
    </row>
    <row r="456">
      <c r="A456" s="36"/>
      <c r="L456" s="37"/>
      <c r="V456" s="32"/>
      <c r="X456" s="35"/>
      <c r="Y456" s="35"/>
      <c r="Z456" s="35"/>
    </row>
    <row r="457">
      <c r="A457" s="36"/>
      <c r="L457" s="37"/>
      <c r="V457" s="32"/>
      <c r="X457" s="35"/>
      <c r="Y457" s="35"/>
      <c r="Z457" s="35"/>
    </row>
    <row r="458">
      <c r="A458" s="36"/>
      <c r="L458" s="37"/>
      <c r="V458" s="32"/>
      <c r="X458" s="35"/>
      <c r="Y458" s="35"/>
      <c r="Z458" s="35"/>
    </row>
    <row r="459">
      <c r="A459" s="36"/>
      <c r="L459" s="37"/>
      <c r="V459" s="32"/>
      <c r="X459" s="35"/>
      <c r="Y459" s="35"/>
      <c r="Z459" s="35"/>
    </row>
    <row r="460">
      <c r="A460" s="36"/>
      <c r="L460" s="37"/>
      <c r="V460" s="32"/>
      <c r="X460" s="35"/>
      <c r="Y460" s="35"/>
      <c r="Z460" s="35"/>
    </row>
    <row r="461">
      <c r="A461" s="36"/>
      <c r="L461" s="37"/>
      <c r="V461" s="32"/>
      <c r="X461" s="35"/>
      <c r="Y461" s="35"/>
      <c r="Z461" s="35"/>
    </row>
    <row r="462">
      <c r="A462" s="36"/>
      <c r="L462" s="37"/>
      <c r="V462" s="32"/>
      <c r="X462" s="35"/>
      <c r="Y462" s="35"/>
      <c r="Z462" s="35"/>
    </row>
    <row r="463">
      <c r="A463" s="36"/>
      <c r="L463" s="37"/>
      <c r="V463" s="32"/>
      <c r="X463" s="35"/>
      <c r="Y463" s="35"/>
      <c r="Z463" s="35"/>
    </row>
    <row r="464">
      <c r="A464" s="36"/>
      <c r="L464" s="37"/>
      <c r="V464" s="32"/>
      <c r="X464" s="35"/>
      <c r="Y464" s="35"/>
      <c r="Z464" s="35"/>
    </row>
    <row r="465">
      <c r="A465" s="36"/>
      <c r="L465" s="37"/>
      <c r="V465" s="32"/>
      <c r="X465" s="35"/>
      <c r="Y465" s="35"/>
      <c r="Z465" s="35"/>
    </row>
    <row r="466">
      <c r="A466" s="36"/>
      <c r="L466" s="37"/>
      <c r="V466" s="32"/>
      <c r="X466" s="35"/>
      <c r="Y466" s="35"/>
      <c r="Z466" s="35"/>
    </row>
    <row r="467">
      <c r="A467" s="36"/>
      <c r="L467" s="37"/>
      <c r="V467" s="32"/>
      <c r="X467" s="35"/>
      <c r="Y467" s="35"/>
      <c r="Z467" s="35"/>
    </row>
    <row r="468">
      <c r="A468" s="36"/>
      <c r="L468" s="37"/>
      <c r="V468" s="32"/>
      <c r="X468" s="35"/>
      <c r="Y468" s="35"/>
      <c r="Z468" s="35"/>
    </row>
    <row r="469">
      <c r="A469" s="36"/>
      <c r="L469" s="37"/>
      <c r="V469" s="32"/>
      <c r="X469" s="35"/>
      <c r="Y469" s="35"/>
      <c r="Z469" s="35"/>
    </row>
    <row r="470">
      <c r="A470" s="36"/>
      <c r="L470" s="37"/>
      <c r="V470" s="32"/>
      <c r="X470" s="35"/>
      <c r="Y470" s="35"/>
      <c r="Z470" s="35"/>
    </row>
    <row r="471">
      <c r="A471" s="36"/>
      <c r="L471" s="37"/>
      <c r="V471" s="32"/>
      <c r="X471" s="35"/>
      <c r="Y471" s="35"/>
      <c r="Z471" s="35"/>
    </row>
    <row r="472">
      <c r="A472" s="36"/>
      <c r="L472" s="37"/>
      <c r="V472" s="32"/>
      <c r="X472" s="35"/>
      <c r="Y472" s="35"/>
      <c r="Z472" s="35"/>
    </row>
    <row r="473">
      <c r="A473" s="36"/>
      <c r="L473" s="37"/>
      <c r="V473" s="32"/>
      <c r="X473" s="35"/>
      <c r="Y473" s="35"/>
      <c r="Z473" s="35"/>
    </row>
    <row r="474">
      <c r="A474" s="36"/>
      <c r="L474" s="37"/>
      <c r="V474" s="32"/>
      <c r="X474" s="35"/>
      <c r="Y474" s="35"/>
      <c r="Z474" s="35"/>
    </row>
    <row r="475">
      <c r="A475" s="36"/>
      <c r="L475" s="37"/>
      <c r="V475" s="32"/>
      <c r="X475" s="35"/>
      <c r="Y475" s="35"/>
      <c r="Z475" s="35"/>
    </row>
    <row r="476">
      <c r="A476" s="36"/>
      <c r="L476" s="37"/>
      <c r="V476" s="32"/>
      <c r="X476" s="35"/>
      <c r="Y476" s="35"/>
      <c r="Z476" s="35"/>
    </row>
    <row r="477">
      <c r="A477" s="36"/>
      <c r="L477" s="37"/>
      <c r="V477" s="32"/>
      <c r="X477" s="35"/>
      <c r="Y477" s="35"/>
      <c r="Z477" s="35"/>
    </row>
    <row r="478">
      <c r="A478" s="36"/>
      <c r="L478" s="37"/>
      <c r="V478" s="32"/>
      <c r="X478" s="35"/>
      <c r="Y478" s="35"/>
      <c r="Z478" s="35"/>
    </row>
    <row r="479">
      <c r="A479" s="36"/>
      <c r="L479" s="37"/>
      <c r="V479" s="32"/>
      <c r="X479" s="35"/>
      <c r="Y479" s="35"/>
      <c r="Z479" s="35"/>
    </row>
    <row r="480">
      <c r="A480" s="36"/>
      <c r="L480" s="37"/>
      <c r="V480" s="32"/>
      <c r="X480" s="35"/>
      <c r="Y480" s="35"/>
      <c r="Z480" s="35"/>
    </row>
    <row r="481">
      <c r="A481" s="36"/>
      <c r="L481" s="37"/>
      <c r="V481" s="32"/>
      <c r="X481" s="35"/>
      <c r="Y481" s="35"/>
      <c r="Z481" s="35"/>
    </row>
    <row r="482">
      <c r="A482" s="36"/>
      <c r="L482" s="37"/>
      <c r="V482" s="32"/>
      <c r="X482" s="35"/>
      <c r="Y482" s="35"/>
      <c r="Z482" s="35"/>
    </row>
    <row r="483">
      <c r="A483" s="36"/>
      <c r="L483" s="37"/>
      <c r="V483" s="32"/>
      <c r="X483" s="35"/>
      <c r="Y483" s="35"/>
      <c r="Z483" s="35"/>
    </row>
    <row r="484">
      <c r="A484" s="36"/>
      <c r="L484" s="37"/>
      <c r="V484" s="32"/>
      <c r="X484" s="35"/>
      <c r="Y484" s="35"/>
      <c r="Z484" s="35"/>
    </row>
    <row r="485">
      <c r="A485" s="36"/>
      <c r="L485" s="37"/>
      <c r="V485" s="32"/>
      <c r="X485" s="35"/>
      <c r="Y485" s="35"/>
      <c r="Z485" s="35"/>
    </row>
    <row r="486">
      <c r="A486" s="36"/>
      <c r="L486" s="37"/>
      <c r="V486" s="32"/>
      <c r="X486" s="35"/>
      <c r="Y486" s="35"/>
      <c r="Z486" s="35"/>
    </row>
    <row r="487">
      <c r="A487" s="36"/>
      <c r="L487" s="37"/>
      <c r="V487" s="32"/>
      <c r="X487" s="35"/>
      <c r="Y487" s="35"/>
      <c r="Z487" s="35"/>
    </row>
    <row r="488">
      <c r="A488" s="36"/>
      <c r="L488" s="37"/>
      <c r="V488" s="32"/>
      <c r="X488" s="35"/>
      <c r="Y488" s="35"/>
      <c r="Z488" s="35"/>
    </row>
    <row r="489">
      <c r="A489" s="36"/>
      <c r="L489" s="37"/>
      <c r="V489" s="32"/>
      <c r="X489" s="35"/>
      <c r="Y489" s="35"/>
      <c r="Z489" s="35"/>
    </row>
    <row r="490">
      <c r="A490" s="36"/>
      <c r="L490" s="37"/>
      <c r="V490" s="32"/>
      <c r="X490" s="35"/>
      <c r="Y490" s="35"/>
      <c r="Z490" s="35"/>
    </row>
    <row r="491">
      <c r="A491" s="36"/>
      <c r="L491" s="37"/>
      <c r="V491" s="32"/>
      <c r="X491" s="35"/>
      <c r="Y491" s="35"/>
      <c r="Z491" s="35"/>
    </row>
    <row r="492">
      <c r="A492" s="36"/>
      <c r="L492" s="37"/>
      <c r="V492" s="32"/>
      <c r="X492" s="35"/>
      <c r="Y492" s="35"/>
      <c r="Z492" s="35"/>
    </row>
    <row r="493">
      <c r="A493" s="36"/>
      <c r="L493" s="37"/>
      <c r="V493" s="32"/>
      <c r="X493" s="35"/>
      <c r="Y493" s="35"/>
      <c r="Z493" s="35"/>
    </row>
    <row r="494">
      <c r="A494" s="36"/>
      <c r="L494" s="37"/>
      <c r="V494" s="32"/>
      <c r="X494" s="35"/>
      <c r="Y494" s="35"/>
      <c r="Z494" s="35"/>
    </row>
    <row r="495">
      <c r="A495" s="36"/>
      <c r="L495" s="37"/>
      <c r="V495" s="32"/>
      <c r="X495" s="35"/>
      <c r="Y495" s="35"/>
      <c r="Z495" s="35"/>
    </row>
    <row r="496">
      <c r="A496" s="36"/>
      <c r="L496" s="37"/>
      <c r="V496" s="32"/>
      <c r="X496" s="35"/>
      <c r="Y496" s="35"/>
      <c r="Z496" s="35"/>
    </row>
    <row r="497">
      <c r="A497" s="36"/>
      <c r="L497" s="37"/>
      <c r="V497" s="32"/>
      <c r="X497" s="35"/>
      <c r="Y497" s="35"/>
      <c r="Z497" s="35"/>
    </row>
    <row r="498">
      <c r="A498" s="36"/>
      <c r="L498" s="37"/>
      <c r="V498" s="32"/>
      <c r="X498" s="35"/>
      <c r="Y498" s="35"/>
      <c r="Z498" s="35"/>
    </row>
    <row r="499">
      <c r="A499" s="36"/>
      <c r="L499" s="37"/>
      <c r="V499" s="32"/>
      <c r="X499" s="35"/>
      <c r="Y499" s="35"/>
      <c r="Z499" s="35"/>
    </row>
    <row r="500">
      <c r="A500" s="36"/>
      <c r="L500" s="37"/>
      <c r="V500" s="32"/>
      <c r="X500" s="35"/>
      <c r="Y500" s="35"/>
      <c r="Z500" s="35"/>
    </row>
    <row r="501">
      <c r="A501" s="36"/>
      <c r="L501" s="37"/>
      <c r="V501" s="32"/>
      <c r="X501" s="35"/>
      <c r="Y501" s="35"/>
      <c r="Z501" s="35"/>
    </row>
    <row r="502">
      <c r="A502" s="36"/>
      <c r="L502" s="37"/>
      <c r="V502" s="32"/>
      <c r="X502" s="35"/>
      <c r="Y502" s="35"/>
      <c r="Z502" s="35"/>
    </row>
    <row r="503">
      <c r="A503" s="36"/>
      <c r="L503" s="37"/>
      <c r="V503" s="32"/>
      <c r="X503" s="35"/>
      <c r="Y503" s="35"/>
      <c r="Z503" s="35"/>
    </row>
    <row r="504">
      <c r="A504" s="36"/>
      <c r="L504" s="37"/>
      <c r="V504" s="32"/>
      <c r="X504" s="35"/>
      <c r="Y504" s="35"/>
      <c r="Z504" s="35"/>
    </row>
    <row r="505">
      <c r="A505" s="36"/>
      <c r="L505" s="37"/>
      <c r="V505" s="32"/>
      <c r="X505" s="35"/>
      <c r="Y505" s="35"/>
      <c r="Z505" s="35"/>
    </row>
    <row r="506">
      <c r="A506" s="36"/>
      <c r="L506" s="37"/>
      <c r="V506" s="32"/>
      <c r="X506" s="35"/>
      <c r="Y506" s="35"/>
      <c r="Z506" s="35"/>
    </row>
    <row r="507">
      <c r="A507" s="36"/>
      <c r="L507" s="37"/>
      <c r="V507" s="32"/>
      <c r="X507" s="35"/>
      <c r="Y507" s="35"/>
      <c r="Z507" s="35"/>
    </row>
    <row r="508">
      <c r="A508" s="36"/>
      <c r="L508" s="37"/>
      <c r="V508" s="32"/>
      <c r="X508" s="35"/>
      <c r="Y508" s="35"/>
      <c r="Z508" s="35"/>
    </row>
    <row r="509">
      <c r="A509" s="36"/>
      <c r="L509" s="37"/>
      <c r="V509" s="32"/>
      <c r="X509" s="35"/>
      <c r="Y509" s="35"/>
      <c r="Z509" s="35"/>
    </row>
    <row r="510">
      <c r="A510" s="36"/>
      <c r="L510" s="37"/>
      <c r="V510" s="32"/>
      <c r="X510" s="35"/>
      <c r="Y510" s="35"/>
      <c r="Z510" s="35"/>
    </row>
    <row r="511">
      <c r="A511" s="36"/>
      <c r="L511" s="37"/>
      <c r="V511" s="32"/>
      <c r="X511" s="35"/>
      <c r="Y511" s="35"/>
      <c r="Z511" s="35"/>
    </row>
    <row r="512">
      <c r="A512" s="36"/>
      <c r="L512" s="37"/>
      <c r="V512" s="32"/>
      <c r="X512" s="35"/>
      <c r="Y512" s="35"/>
      <c r="Z512" s="35"/>
    </row>
    <row r="513">
      <c r="A513" s="36"/>
      <c r="L513" s="37"/>
      <c r="V513" s="32"/>
      <c r="X513" s="35"/>
      <c r="Y513" s="35"/>
      <c r="Z513" s="35"/>
    </row>
    <row r="514">
      <c r="A514" s="36"/>
      <c r="L514" s="37"/>
      <c r="V514" s="32"/>
      <c r="X514" s="35"/>
      <c r="Y514" s="35"/>
      <c r="Z514" s="35"/>
    </row>
    <row r="515">
      <c r="A515" s="36"/>
      <c r="L515" s="37"/>
      <c r="V515" s="32"/>
      <c r="X515" s="35"/>
      <c r="Y515" s="35"/>
      <c r="Z515" s="35"/>
    </row>
    <row r="516">
      <c r="A516" s="36"/>
      <c r="L516" s="37"/>
      <c r="V516" s="32"/>
      <c r="X516" s="35"/>
      <c r="Y516" s="35"/>
      <c r="Z516" s="35"/>
    </row>
    <row r="517">
      <c r="A517" s="36"/>
      <c r="L517" s="37"/>
      <c r="V517" s="32"/>
      <c r="X517" s="35"/>
      <c r="Y517" s="35"/>
      <c r="Z517" s="35"/>
    </row>
    <row r="518">
      <c r="A518" s="36"/>
      <c r="L518" s="37"/>
      <c r="V518" s="32"/>
      <c r="X518" s="35"/>
      <c r="Y518" s="35"/>
      <c r="Z518" s="35"/>
    </row>
    <row r="519">
      <c r="A519" s="36"/>
      <c r="L519" s="37"/>
      <c r="V519" s="32"/>
      <c r="X519" s="35"/>
      <c r="Y519" s="35"/>
      <c r="Z519" s="35"/>
    </row>
    <row r="520">
      <c r="A520" s="36"/>
      <c r="L520" s="37"/>
      <c r="V520" s="32"/>
      <c r="X520" s="35"/>
      <c r="Y520" s="35"/>
      <c r="Z520" s="35"/>
    </row>
    <row r="521">
      <c r="A521" s="36"/>
      <c r="L521" s="37"/>
      <c r="V521" s="32"/>
      <c r="X521" s="35"/>
      <c r="Y521" s="35"/>
      <c r="Z521" s="35"/>
    </row>
    <row r="522">
      <c r="A522" s="36"/>
      <c r="L522" s="37"/>
      <c r="V522" s="32"/>
      <c r="X522" s="35"/>
      <c r="Y522" s="35"/>
      <c r="Z522" s="35"/>
    </row>
    <row r="523">
      <c r="A523" s="36"/>
      <c r="L523" s="37"/>
      <c r="V523" s="32"/>
      <c r="X523" s="35"/>
      <c r="Y523" s="35"/>
      <c r="Z523" s="35"/>
    </row>
    <row r="524">
      <c r="A524" s="36"/>
      <c r="L524" s="37"/>
      <c r="V524" s="32"/>
      <c r="X524" s="35"/>
      <c r="Y524" s="35"/>
      <c r="Z524" s="35"/>
    </row>
    <row r="525">
      <c r="A525" s="36"/>
      <c r="L525" s="37"/>
      <c r="V525" s="32"/>
      <c r="X525" s="35"/>
      <c r="Y525" s="35"/>
      <c r="Z525" s="35"/>
    </row>
    <row r="526">
      <c r="A526" s="36"/>
      <c r="L526" s="37"/>
      <c r="V526" s="32"/>
      <c r="X526" s="35"/>
      <c r="Y526" s="35"/>
      <c r="Z526" s="35"/>
    </row>
    <row r="527">
      <c r="A527" s="36"/>
      <c r="L527" s="37"/>
      <c r="V527" s="32"/>
      <c r="X527" s="35"/>
      <c r="Y527" s="35"/>
      <c r="Z527" s="35"/>
    </row>
    <row r="528">
      <c r="A528" s="36"/>
      <c r="L528" s="37"/>
      <c r="V528" s="32"/>
      <c r="X528" s="35"/>
      <c r="Y528" s="35"/>
      <c r="Z528" s="35"/>
    </row>
    <row r="529">
      <c r="A529" s="36"/>
      <c r="L529" s="37"/>
      <c r="V529" s="32"/>
      <c r="X529" s="35"/>
      <c r="Y529" s="35"/>
      <c r="Z529" s="35"/>
    </row>
    <row r="530">
      <c r="A530" s="36"/>
      <c r="L530" s="37"/>
      <c r="V530" s="32"/>
      <c r="X530" s="35"/>
      <c r="Y530" s="35"/>
      <c r="Z530" s="35"/>
    </row>
    <row r="531">
      <c r="A531" s="36"/>
      <c r="L531" s="37"/>
      <c r="V531" s="32"/>
      <c r="X531" s="35"/>
      <c r="Y531" s="35"/>
      <c r="Z531" s="35"/>
    </row>
    <row r="532">
      <c r="A532" s="36"/>
      <c r="L532" s="37"/>
      <c r="V532" s="32"/>
      <c r="X532" s="35"/>
      <c r="Y532" s="35"/>
      <c r="Z532" s="35"/>
    </row>
    <row r="533">
      <c r="A533" s="36"/>
      <c r="L533" s="37"/>
      <c r="V533" s="32"/>
      <c r="X533" s="35"/>
      <c r="Y533" s="35"/>
      <c r="Z533" s="35"/>
    </row>
    <row r="534">
      <c r="A534" s="36"/>
      <c r="L534" s="37"/>
      <c r="V534" s="32"/>
      <c r="X534" s="35"/>
      <c r="Y534" s="35"/>
      <c r="Z534" s="35"/>
    </row>
    <row r="535">
      <c r="A535" s="36"/>
      <c r="L535" s="37"/>
      <c r="V535" s="32"/>
      <c r="X535" s="35"/>
      <c r="Y535" s="35"/>
      <c r="Z535" s="35"/>
    </row>
    <row r="536">
      <c r="A536" s="36"/>
      <c r="L536" s="37"/>
      <c r="V536" s="32"/>
      <c r="X536" s="35"/>
      <c r="Y536" s="35"/>
      <c r="Z536" s="35"/>
    </row>
    <row r="537">
      <c r="A537" s="36"/>
      <c r="L537" s="37"/>
      <c r="V537" s="32"/>
      <c r="X537" s="35"/>
      <c r="Y537" s="35"/>
      <c r="Z537" s="35"/>
    </row>
    <row r="538">
      <c r="A538" s="36"/>
      <c r="L538" s="37"/>
      <c r="V538" s="32"/>
      <c r="X538" s="35"/>
      <c r="Y538" s="35"/>
      <c r="Z538" s="35"/>
    </row>
    <row r="539">
      <c r="A539" s="36"/>
      <c r="L539" s="37"/>
      <c r="V539" s="32"/>
      <c r="X539" s="35"/>
      <c r="Y539" s="35"/>
      <c r="Z539" s="35"/>
    </row>
    <row r="540">
      <c r="A540" s="36"/>
      <c r="L540" s="37"/>
      <c r="V540" s="32"/>
      <c r="X540" s="35"/>
      <c r="Y540" s="35"/>
      <c r="Z540" s="35"/>
    </row>
    <row r="541">
      <c r="A541" s="36"/>
      <c r="L541" s="37"/>
      <c r="V541" s="32"/>
      <c r="X541" s="35"/>
      <c r="Y541" s="35"/>
      <c r="Z541" s="35"/>
    </row>
    <row r="542">
      <c r="A542" s="36"/>
      <c r="L542" s="37"/>
      <c r="V542" s="32"/>
      <c r="X542" s="35"/>
      <c r="Y542" s="35"/>
      <c r="Z542" s="35"/>
    </row>
    <row r="543">
      <c r="A543" s="36"/>
      <c r="L543" s="37"/>
      <c r="V543" s="32"/>
      <c r="X543" s="35"/>
      <c r="Y543" s="35"/>
      <c r="Z543" s="35"/>
    </row>
    <row r="544">
      <c r="A544" s="36"/>
      <c r="L544" s="37"/>
      <c r="V544" s="32"/>
      <c r="X544" s="35"/>
      <c r="Y544" s="35"/>
      <c r="Z544" s="35"/>
    </row>
    <row r="545">
      <c r="A545" s="36"/>
      <c r="L545" s="37"/>
      <c r="V545" s="32"/>
      <c r="X545" s="35"/>
      <c r="Y545" s="35"/>
      <c r="Z545" s="35"/>
    </row>
    <row r="546">
      <c r="A546" s="36"/>
      <c r="L546" s="37"/>
      <c r="V546" s="32"/>
      <c r="X546" s="35"/>
      <c r="Y546" s="35"/>
      <c r="Z546" s="35"/>
    </row>
    <row r="547">
      <c r="A547" s="36"/>
      <c r="L547" s="37"/>
      <c r="V547" s="32"/>
      <c r="X547" s="35"/>
      <c r="Y547" s="35"/>
      <c r="Z547" s="35"/>
    </row>
    <row r="548">
      <c r="A548" s="36"/>
      <c r="L548" s="37"/>
      <c r="V548" s="32"/>
      <c r="X548" s="35"/>
      <c r="Y548" s="35"/>
      <c r="Z548" s="35"/>
    </row>
    <row r="549">
      <c r="A549" s="36"/>
      <c r="L549" s="37"/>
      <c r="V549" s="32"/>
      <c r="X549" s="35"/>
      <c r="Y549" s="35"/>
      <c r="Z549" s="35"/>
    </row>
    <row r="550">
      <c r="A550" s="36"/>
      <c r="L550" s="37"/>
      <c r="V550" s="32"/>
      <c r="X550" s="35"/>
      <c r="Y550" s="35"/>
      <c r="Z550" s="35"/>
    </row>
    <row r="551">
      <c r="A551" s="36"/>
      <c r="L551" s="37"/>
      <c r="V551" s="32"/>
      <c r="X551" s="35"/>
      <c r="Y551" s="35"/>
      <c r="Z551" s="35"/>
    </row>
    <row r="552">
      <c r="A552" s="36"/>
      <c r="L552" s="37"/>
      <c r="V552" s="32"/>
      <c r="X552" s="35"/>
      <c r="Y552" s="35"/>
      <c r="Z552" s="35"/>
    </row>
    <row r="553">
      <c r="A553" s="36"/>
      <c r="L553" s="37"/>
      <c r="V553" s="32"/>
      <c r="X553" s="35"/>
      <c r="Y553" s="35"/>
      <c r="Z553" s="35"/>
    </row>
    <row r="554">
      <c r="A554" s="36"/>
      <c r="L554" s="37"/>
      <c r="V554" s="32"/>
      <c r="X554" s="35"/>
      <c r="Y554" s="35"/>
      <c r="Z554" s="35"/>
    </row>
    <row r="555">
      <c r="A555" s="36"/>
      <c r="L555" s="37"/>
      <c r="V555" s="32"/>
      <c r="X555" s="35"/>
      <c r="Y555" s="35"/>
      <c r="Z555" s="35"/>
    </row>
    <row r="556">
      <c r="A556" s="36"/>
      <c r="L556" s="37"/>
      <c r="V556" s="32"/>
      <c r="X556" s="35"/>
      <c r="Y556" s="35"/>
      <c r="Z556" s="35"/>
    </row>
    <row r="557">
      <c r="A557" s="36"/>
      <c r="L557" s="37"/>
      <c r="V557" s="32"/>
      <c r="X557" s="35"/>
      <c r="Y557" s="35"/>
      <c r="Z557" s="35"/>
    </row>
    <row r="558">
      <c r="A558" s="36"/>
      <c r="L558" s="37"/>
      <c r="V558" s="32"/>
      <c r="X558" s="35"/>
      <c r="Y558" s="35"/>
      <c r="Z558" s="35"/>
    </row>
    <row r="559">
      <c r="A559" s="36"/>
      <c r="L559" s="37"/>
      <c r="V559" s="32"/>
      <c r="X559" s="35"/>
      <c r="Y559" s="35"/>
      <c r="Z559" s="35"/>
    </row>
    <row r="560">
      <c r="A560" s="36"/>
      <c r="L560" s="37"/>
      <c r="V560" s="32"/>
      <c r="X560" s="35"/>
      <c r="Y560" s="35"/>
      <c r="Z560" s="35"/>
    </row>
    <row r="561">
      <c r="A561" s="36"/>
      <c r="L561" s="37"/>
      <c r="V561" s="32"/>
      <c r="X561" s="35"/>
      <c r="Y561" s="35"/>
      <c r="Z561" s="35"/>
    </row>
    <row r="562">
      <c r="A562" s="36"/>
      <c r="L562" s="37"/>
      <c r="V562" s="32"/>
      <c r="X562" s="35"/>
      <c r="Y562" s="35"/>
      <c r="Z562" s="35"/>
    </row>
    <row r="563">
      <c r="A563" s="36"/>
      <c r="L563" s="37"/>
      <c r="V563" s="32"/>
      <c r="X563" s="35"/>
      <c r="Y563" s="35"/>
      <c r="Z563" s="35"/>
    </row>
    <row r="564">
      <c r="A564" s="36"/>
      <c r="L564" s="37"/>
      <c r="V564" s="32"/>
      <c r="X564" s="35"/>
      <c r="Y564" s="35"/>
      <c r="Z564" s="35"/>
    </row>
    <row r="565">
      <c r="A565" s="36"/>
      <c r="L565" s="37"/>
      <c r="V565" s="32"/>
      <c r="X565" s="35"/>
      <c r="Y565" s="35"/>
      <c r="Z565" s="35"/>
    </row>
    <row r="566">
      <c r="A566" s="36"/>
      <c r="L566" s="37"/>
      <c r="V566" s="32"/>
      <c r="X566" s="35"/>
      <c r="Y566" s="35"/>
      <c r="Z566" s="35"/>
    </row>
    <row r="567">
      <c r="A567" s="36"/>
      <c r="L567" s="37"/>
      <c r="V567" s="32"/>
      <c r="X567" s="35"/>
      <c r="Y567" s="35"/>
      <c r="Z567" s="35"/>
    </row>
    <row r="568">
      <c r="A568" s="36"/>
      <c r="L568" s="37"/>
      <c r="V568" s="32"/>
      <c r="X568" s="35"/>
      <c r="Y568" s="35"/>
      <c r="Z568" s="35"/>
    </row>
    <row r="569">
      <c r="A569" s="36"/>
      <c r="L569" s="37"/>
      <c r="V569" s="32"/>
      <c r="X569" s="35"/>
      <c r="Y569" s="35"/>
      <c r="Z569" s="35"/>
    </row>
    <row r="570">
      <c r="A570" s="36"/>
      <c r="L570" s="37"/>
      <c r="V570" s="32"/>
      <c r="X570" s="35"/>
      <c r="Y570" s="35"/>
      <c r="Z570" s="35"/>
    </row>
    <row r="571">
      <c r="A571" s="36"/>
      <c r="L571" s="37"/>
      <c r="V571" s="32"/>
      <c r="X571" s="35"/>
      <c r="Y571" s="35"/>
      <c r="Z571" s="35"/>
    </row>
    <row r="572">
      <c r="A572" s="36"/>
      <c r="L572" s="37"/>
      <c r="V572" s="32"/>
      <c r="X572" s="35"/>
      <c r="Y572" s="35"/>
      <c r="Z572" s="35"/>
    </row>
    <row r="573">
      <c r="A573" s="36"/>
      <c r="L573" s="37"/>
      <c r="V573" s="32"/>
      <c r="X573" s="35"/>
      <c r="Y573" s="35"/>
      <c r="Z573" s="35"/>
    </row>
    <row r="574">
      <c r="A574" s="36"/>
      <c r="L574" s="37"/>
      <c r="V574" s="32"/>
      <c r="X574" s="35"/>
      <c r="Y574" s="35"/>
      <c r="Z574" s="35"/>
    </row>
    <row r="575">
      <c r="A575" s="36"/>
      <c r="L575" s="37"/>
      <c r="V575" s="32"/>
      <c r="X575" s="35"/>
      <c r="Y575" s="35"/>
      <c r="Z575" s="35"/>
    </row>
    <row r="576">
      <c r="A576" s="36"/>
      <c r="L576" s="37"/>
      <c r="V576" s="32"/>
      <c r="X576" s="35"/>
      <c r="Y576" s="35"/>
      <c r="Z576" s="35"/>
    </row>
    <row r="577">
      <c r="A577" s="36"/>
      <c r="L577" s="37"/>
      <c r="V577" s="32"/>
      <c r="X577" s="35"/>
      <c r="Y577" s="35"/>
      <c r="Z577" s="35"/>
    </row>
    <row r="578">
      <c r="A578" s="36"/>
      <c r="L578" s="37"/>
      <c r="V578" s="32"/>
      <c r="X578" s="35"/>
      <c r="Y578" s="35"/>
      <c r="Z578" s="35"/>
    </row>
    <row r="579">
      <c r="A579" s="36"/>
      <c r="L579" s="37"/>
      <c r="V579" s="32"/>
      <c r="X579" s="35"/>
      <c r="Y579" s="35"/>
      <c r="Z579" s="35"/>
    </row>
    <row r="580">
      <c r="A580" s="36"/>
      <c r="L580" s="37"/>
      <c r="V580" s="32"/>
      <c r="X580" s="35"/>
      <c r="Y580" s="35"/>
      <c r="Z580" s="35"/>
    </row>
    <row r="581">
      <c r="A581" s="36"/>
      <c r="L581" s="37"/>
      <c r="V581" s="32"/>
      <c r="X581" s="35"/>
      <c r="Y581" s="35"/>
      <c r="Z581" s="35"/>
    </row>
    <row r="582">
      <c r="A582" s="36"/>
      <c r="L582" s="37"/>
      <c r="V582" s="32"/>
      <c r="X582" s="35"/>
      <c r="Y582" s="35"/>
      <c r="Z582" s="35"/>
    </row>
    <row r="583">
      <c r="A583" s="36"/>
      <c r="L583" s="37"/>
      <c r="V583" s="32"/>
      <c r="X583" s="35"/>
      <c r="Y583" s="35"/>
      <c r="Z583" s="35"/>
    </row>
    <row r="584">
      <c r="A584" s="36"/>
      <c r="L584" s="37"/>
      <c r="V584" s="32"/>
      <c r="X584" s="35"/>
      <c r="Y584" s="35"/>
      <c r="Z584" s="35"/>
    </row>
    <row r="585">
      <c r="A585" s="36"/>
      <c r="L585" s="37"/>
      <c r="V585" s="32"/>
      <c r="X585" s="35"/>
      <c r="Y585" s="35"/>
      <c r="Z585" s="35"/>
    </row>
    <row r="586">
      <c r="A586" s="36"/>
      <c r="L586" s="37"/>
      <c r="V586" s="32"/>
      <c r="X586" s="35"/>
      <c r="Y586" s="35"/>
      <c r="Z586" s="35"/>
    </row>
    <row r="587">
      <c r="A587" s="36"/>
      <c r="L587" s="37"/>
      <c r="V587" s="32"/>
      <c r="X587" s="35"/>
      <c r="Y587" s="35"/>
      <c r="Z587" s="35"/>
    </row>
    <row r="588">
      <c r="A588" s="36"/>
      <c r="L588" s="37"/>
      <c r="V588" s="32"/>
      <c r="X588" s="35"/>
      <c r="Y588" s="35"/>
      <c r="Z588" s="35"/>
    </row>
    <row r="589">
      <c r="A589" s="36"/>
      <c r="L589" s="37"/>
      <c r="V589" s="32"/>
      <c r="X589" s="35"/>
      <c r="Y589" s="35"/>
      <c r="Z589" s="35"/>
    </row>
    <row r="590">
      <c r="A590" s="36"/>
      <c r="L590" s="37"/>
      <c r="V590" s="32"/>
      <c r="X590" s="35"/>
      <c r="Y590" s="35"/>
      <c r="Z590" s="35"/>
    </row>
    <row r="591">
      <c r="A591" s="36"/>
      <c r="L591" s="37"/>
      <c r="V591" s="32"/>
      <c r="X591" s="35"/>
      <c r="Y591" s="35"/>
      <c r="Z591" s="35"/>
    </row>
    <row r="592">
      <c r="A592" s="36"/>
      <c r="L592" s="37"/>
      <c r="V592" s="32"/>
      <c r="X592" s="35"/>
      <c r="Y592" s="35"/>
      <c r="Z592" s="35"/>
    </row>
    <row r="593">
      <c r="A593" s="36"/>
      <c r="L593" s="37"/>
      <c r="V593" s="32"/>
      <c r="X593" s="35"/>
      <c r="Y593" s="35"/>
      <c r="Z593" s="35"/>
    </row>
    <row r="594">
      <c r="A594" s="36"/>
      <c r="L594" s="37"/>
      <c r="V594" s="32"/>
      <c r="X594" s="35"/>
      <c r="Y594" s="35"/>
      <c r="Z594" s="35"/>
    </row>
    <row r="595">
      <c r="A595" s="36"/>
      <c r="L595" s="37"/>
      <c r="V595" s="32"/>
      <c r="X595" s="35"/>
      <c r="Y595" s="35"/>
      <c r="Z595" s="35"/>
    </row>
    <row r="596">
      <c r="A596" s="36"/>
      <c r="L596" s="37"/>
      <c r="V596" s="32"/>
      <c r="X596" s="35"/>
      <c r="Y596" s="35"/>
      <c r="Z596" s="35"/>
    </row>
    <row r="597">
      <c r="A597" s="36"/>
      <c r="L597" s="37"/>
      <c r="V597" s="32"/>
      <c r="X597" s="35"/>
      <c r="Y597" s="35"/>
      <c r="Z597" s="35"/>
    </row>
    <row r="598">
      <c r="A598" s="36"/>
      <c r="L598" s="37"/>
      <c r="V598" s="32"/>
      <c r="X598" s="35"/>
      <c r="Y598" s="35"/>
      <c r="Z598" s="35"/>
    </row>
    <row r="599">
      <c r="A599" s="36"/>
      <c r="L599" s="37"/>
      <c r="V599" s="32"/>
      <c r="X599" s="35"/>
      <c r="Y599" s="35"/>
      <c r="Z599" s="35"/>
    </row>
    <row r="600">
      <c r="A600" s="36"/>
      <c r="L600" s="37"/>
      <c r="V600" s="32"/>
      <c r="X600" s="35"/>
      <c r="Y600" s="35"/>
      <c r="Z600" s="35"/>
    </row>
    <row r="601">
      <c r="A601" s="36"/>
      <c r="L601" s="37"/>
      <c r="V601" s="32"/>
      <c r="X601" s="35"/>
      <c r="Y601" s="35"/>
      <c r="Z601" s="35"/>
    </row>
    <row r="602">
      <c r="A602" s="36"/>
      <c r="L602" s="37"/>
      <c r="V602" s="32"/>
      <c r="X602" s="35"/>
      <c r="Y602" s="35"/>
      <c r="Z602" s="35"/>
    </row>
    <row r="603">
      <c r="A603" s="36"/>
      <c r="L603" s="37"/>
      <c r="V603" s="32"/>
      <c r="X603" s="35"/>
      <c r="Y603" s="35"/>
      <c r="Z603" s="35"/>
    </row>
    <row r="604">
      <c r="A604" s="36"/>
      <c r="L604" s="37"/>
      <c r="V604" s="32"/>
      <c r="X604" s="35"/>
      <c r="Y604" s="35"/>
      <c r="Z604" s="35"/>
    </row>
    <row r="605">
      <c r="A605" s="36"/>
      <c r="L605" s="37"/>
      <c r="V605" s="32"/>
      <c r="X605" s="35"/>
      <c r="Y605" s="35"/>
      <c r="Z605" s="35"/>
    </row>
    <row r="606">
      <c r="A606" s="36"/>
      <c r="L606" s="37"/>
      <c r="V606" s="32"/>
      <c r="X606" s="35"/>
      <c r="Y606" s="35"/>
      <c r="Z606" s="35"/>
    </row>
    <row r="607">
      <c r="A607" s="36"/>
      <c r="L607" s="37"/>
      <c r="V607" s="32"/>
      <c r="X607" s="35"/>
      <c r="Y607" s="35"/>
      <c r="Z607" s="35"/>
    </row>
    <row r="608">
      <c r="A608" s="36"/>
      <c r="L608" s="37"/>
      <c r="V608" s="32"/>
      <c r="X608" s="35"/>
      <c r="Y608" s="35"/>
      <c r="Z608" s="35"/>
    </row>
    <row r="609">
      <c r="A609" s="36"/>
      <c r="L609" s="37"/>
      <c r="V609" s="32"/>
      <c r="X609" s="35"/>
      <c r="Y609" s="35"/>
      <c r="Z609" s="35"/>
    </row>
    <row r="610">
      <c r="A610" s="36"/>
      <c r="L610" s="37"/>
      <c r="V610" s="32"/>
      <c r="X610" s="35"/>
      <c r="Y610" s="35"/>
      <c r="Z610" s="35"/>
    </row>
    <row r="611">
      <c r="A611" s="36"/>
      <c r="L611" s="37"/>
      <c r="V611" s="32"/>
      <c r="X611" s="35"/>
      <c r="Y611" s="35"/>
      <c r="Z611" s="35"/>
    </row>
    <row r="612">
      <c r="A612" s="36"/>
      <c r="L612" s="37"/>
      <c r="V612" s="32"/>
      <c r="X612" s="35"/>
      <c r="Y612" s="35"/>
      <c r="Z612" s="35"/>
    </row>
    <row r="613">
      <c r="A613" s="36"/>
      <c r="L613" s="37"/>
      <c r="V613" s="32"/>
      <c r="X613" s="35"/>
      <c r="Y613" s="35"/>
      <c r="Z613" s="35"/>
    </row>
    <row r="614">
      <c r="A614" s="36"/>
      <c r="L614" s="37"/>
      <c r="V614" s="32"/>
      <c r="X614" s="35"/>
      <c r="Y614" s="35"/>
      <c r="Z614" s="35"/>
    </row>
    <row r="615">
      <c r="A615" s="36"/>
      <c r="L615" s="37"/>
      <c r="V615" s="32"/>
      <c r="X615" s="35"/>
      <c r="Y615" s="35"/>
      <c r="Z615" s="35"/>
    </row>
    <row r="616">
      <c r="A616" s="36"/>
      <c r="L616" s="37"/>
      <c r="V616" s="32"/>
      <c r="X616" s="35"/>
      <c r="Y616" s="35"/>
      <c r="Z616" s="35"/>
    </row>
    <row r="617">
      <c r="A617" s="36"/>
      <c r="L617" s="37"/>
      <c r="V617" s="32"/>
      <c r="X617" s="35"/>
      <c r="Y617" s="35"/>
      <c r="Z617" s="35"/>
    </row>
    <row r="618">
      <c r="A618" s="36"/>
      <c r="L618" s="37"/>
      <c r="V618" s="32"/>
      <c r="X618" s="35"/>
      <c r="Y618" s="35"/>
      <c r="Z618" s="35"/>
    </row>
    <row r="619">
      <c r="A619" s="36"/>
      <c r="L619" s="37"/>
      <c r="V619" s="32"/>
      <c r="X619" s="35"/>
      <c r="Y619" s="35"/>
      <c r="Z619" s="35"/>
    </row>
    <row r="620">
      <c r="A620" s="36"/>
      <c r="L620" s="37"/>
      <c r="V620" s="32"/>
      <c r="X620" s="35"/>
      <c r="Y620" s="35"/>
      <c r="Z620" s="35"/>
    </row>
    <row r="621">
      <c r="A621" s="36"/>
      <c r="L621" s="37"/>
      <c r="V621" s="32"/>
      <c r="X621" s="35"/>
      <c r="Y621" s="35"/>
      <c r="Z621" s="35"/>
    </row>
    <row r="622">
      <c r="A622" s="36"/>
      <c r="L622" s="37"/>
      <c r="V622" s="32"/>
      <c r="X622" s="35"/>
      <c r="Y622" s="35"/>
      <c r="Z622" s="35"/>
    </row>
    <row r="623">
      <c r="A623" s="36"/>
      <c r="L623" s="37"/>
      <c r="V623" s="32"/>
      <c r="X623" s="35"/>
      <c r="Y623" s="35"/>
      <c r="Z623" s="35"/>
    </row>
    <row r="624">
      <c r="A624" s="36"/>
      <c r="L624" s="37"/>
      <c r="V624" s="32"/>
      <c r="X624" s="35"/>
      <c r="Y624" s="35"/>
      <c r="Z624" s="35"/>
    </row>
    <row r="625">
      <c r="A625" s="36"/>
      <c r="L625" s="37"/>
      <c r="V625" s="32"/>
      <c r="X625" s="35"/>
      <c r="Y625" s="35"/>
      <c r="Z625" s="35"/>
    </row>
    <row r="626">
      <c r="A626" s="36"/>
      <c r="L626" s="37"/>
      <c r="V626" s="32"/>
      <c r="X626" s="35"/>
      <c r="Y626" s="35"/>
      <c r="Z626" s="35"/>
    </row>
    <row r="627">
      <c r="A627" s="36"/>
      <c r="L627" s="37"/>
      <c r="V627" s="32"/>
      <c r="X627" s="35"/>
      <c r="Y627" s="35"/>
      <c r="Z627" s="35"/>
    </row>
    <row r="628">
      <c r="A628" s="36"/>
      <c r="L628" s="37"/>
      <c r="V628" s="32"/>
      <c r="X628" s="35"/>
      <c r="Y628" s="35"/>
      <c r="Z628" s="35"/>
    </row>
    <row r="629">
      <c r="A629" s="36"/>
      <c r="L629" s="37"/>
      <c r="V629" s="32"/>
      <c r="X629" s="35"/>
      <c r="Y629" s="35"/>
      <c r="Z629" s="35"/>
    </row>
    <row r="630">
      <c r="A630" s="36"/>
      <c r="L630" s="37"/>
      <c r="V630" s="32"/>
      <c r="X630" s="35"/>
      <c r="Y630" s="35"/>
      <c r="Z630" s="35"/>
    </row>
    <row r="631">
      <c r="A631" s="36"/>
      <c r="L631" s="37"/>
      <c r="V631" s="32"/>
      <c r="X631" s="35"/>
      <c r="Y631" s="35"/>
      <c r="Z631" s="35"/>
    </row>
    <row r="632">
      <c r="A632" s="36"/>
      <c r="L632" s="37"/>
      <c r="V632" s="32"/>
      <c r="X632" s="35"/>
      <c r="Y632" s="35"/>
      <c r="Z632" s="35"/>
    </row>
    <row r="633">
      <c r="A633" s="36"/>
      <c r="L633" s="37"/>
      <c r="V633" s="32"/>
      <c r="X633" s="35"/>
      <c r="Y633" s="35"/>
      <c r="Z633" s="35"/>
    </row>
    <row r="634">
      <c r="A634" s="36"/>
      <c r="L634" s="37"/>
      <c r="V634" s="32"/>
      <c r="X634" s="35"/>
      <c r="Y634" s="35"/>
      <c r="Z634" s="35"/>
    </row>
    <row r="635">
      <c r="A635" s="36"/>
      <c r="L635" s="37"/>
      <c r="V635" s="32"/>
      <c r="X635" s="35"/>
      <c r="Y635" s="35"/>
      <c r="Z635" s="35"/>
    </row>
    <row r="636">
      <c r="A636" s="36"/>
      <c r="L636" s="37"/>
      <c r="V636" s="32"/>
      <c r="X636" s="35"/>
      <c r="Y636" s="35"/>
      <c r="Z636" s="35"/>
    </row>
    <row r="637">
      <c r="A637" s="36"/>
      <c r="L637" s="37"/>
      <c r="V637" s="32"/>
      <c r="X637" s="35"/>
      <c r="Y637" s="35"/>
      <c r="Z637" s="35"/>
    </row>
    <row r="638">
      <c r="A638" s="36"/>
      <c r="L638" s="37"/>
      <c r="V638" s="32"/>
      <c r="X638" s="35"/>
      <c r="Y638" s="35"/>
      <c r="Z638" s="35"/>
    </row>
    <row r="639">
      <c r="A639" s="36"/>
      <c r="L639" s="37"/>
      <c r="V639" s="32"/>
      <c r="X639" s="35"/>
      <c r="Y639" s="35"/>
      <c r="Z639" s="35"/>
    </row>
    <row r="640">
      <c r="A640" s="36"/>
      <c r="L640" s="37"/>
      <c r="V640" s="32"/>
      <c r="X640" s="35"/>
      <c r="Y640" s="35"/>
      <c r="Z640" s="35"/>
    </row>
    <row r="641">
      <c r="A641" s="36"/>
      <c r="L641" s="37"/>
      <c r="V641" s="32"/>
      <c r="X641" s="35"/>
      <c r="Y641" s="35"/>
      <c r="Z641" s="35"/>
    </row>
    <row r="642">
      <c r="A642" s="36"/>
      <c r="L642" s="37"/>
      <c r="V642" s="32"/>
      <c r="X642" s="35"/>
      <c r="Y642" s="35"/>
      <c r="Z642" s="35"/>
    </row>
    <row r="643">
      <c r="A643" s="36"/>
      <c r="L643" s="37"/>
      <c r="V643" s="32"/>
      <c r="X643" s="35"/>
      <c r="Y643" s="35"/>
      <c r="Z643" s="35"/>
    </row>
    <row r="644">
      <c r="A644" s="36"/>
      <c r="L644" s="37"/>
      <c r="V644" s="32"/>
      <c r="X644" s="35"/>
      <c r="Y644" s="35"/>
      <c r="Z644" s="35"/>
    </row>
    <row r="645">
      <c r="A645" s="36"/>
      <c r="L645" s="37"/>
      <c r="V645" s="32"/>
      <c r="X645" s="35"/>
      <c r="Y645" s="35"/>
      <c r="Z645" s="35"/>
    </row>
    <row r="646">
      <c r="A646" s="36"/>
      <c r="L646" s="37"/>
      <c r="V646" s="32"/>
      <c r="X646" s="35"/>
      <c r="Y646" s="35"/>
      <c r="Z646" s="35"/>
    </row>
    <row r="647">
      <c r="A647" s="36"/>
      <c r="L647" s="37"/>
      <c r="V647" s="32"/>
      <c r="X647" s="35"/>
      <c r="Y647" s="35"/>
      <c r="Z647" s="35"/>
    </row>
    <row r="648">
      <c r="A648" s="36"/>
      <c r="L648" s="37"/>
      <c r="V648" s="32"/>
      <c r="X648" s="35"/>
      <c r="Y648" s="35"/>
      <c r="Z648" s="35"/>
    </row>
    <row r="649">
      <c r="A649" s="36"/>
      <c r="L649" s="37"/>
      <c r="V649" s="32"/>
      <c r="X649" s="35"/>
      <c r="Y649" s="35"/>
      <c r="Z649" s="35"/>
    </row>
    <row r="650">
      <c r="A650" s="36"/>
      <c r="L650" s="37"/>
      <c r="V650" s="32"/>
      <c r="X650" s="35"/>
      <c r="Y650" s="35"/>
      <c r="Z650" s="35"/>
    </row>
    <row r="651">
      <c r="A651" s="36"/>
      <c r="L651" s="37"/>
      <c r="V651" s="32"/>
      <c r="X651" s="35"/>
      <c r="Y651" s="35"/>
      <c r="Z651" s="35"/>
    </row>
    <row r="652">
      <c r="A652" s="36"/>
      <c r="L652" s="37"/>
      <c r="V652" s="32"/>
      <c r="X652" s="35"/>
      <c r="Y652" s="35"/>
      <c r="Z652" s="35"/>
    </row>
    <row r="653">
      <c r="A653" s="36"/>
      <c r="L653" s="37"/>
      <c r="V653" s="32"/>
      <c r="X653" s="35"/>
      <c r="Y653" s="35"/>
      <c r="Z653" s="35"/>
    </row>
    <row r="654">
      <c r="A654" s="36"/>
      <c r="L654" s="37"/>
      <c r="V654" s="32"/>
      <c r="X654" s="35"/>
      <c r="Y654" s="35"/>
      <c r="Z654" s="35"/>
    </row>
    <row r="655">
      <c r="A655" s="36"/>
      <c r="L655" s="37"/>
      <c r="V655" s="32"/>
      <c r="X655" s="35"/>
      <c r="Y655" s="35"/>
      <c r="Z655" s="35"/>
    </row>
    <row r="656">
      <c r="A656" s="36"/>
      <c r="L656" s="37"/>
      <c r="V656" s="32"/>
      <c r="X656" s="35"/>
      <c r="Y656" s="35"/>
      <c r="Z656" s="35"/>
    </row>
    <row r="657">
      <c r="A657" s="36"/>
      <c r="L657" s="37"/>
      <c r="V657" s="32"/>
      <c r="X657" s="35"/>
      <c r="Y657" s="35"/>
      <c r="Z657" s="35"/>
    </row>
    <row r="658">
      <c r="A658" s="36"/>
      <c r="L658" s="37"/>
      <c r="V658" s="32"/>
      <c r="X658" s="35"/>
      <c r="Y658" s="35"/>
      <c r="Z658" s="35"/>
    </row>
    <row r="659">
      <c r="A659" s="36"/>
      <c r="L659" s="37"/>
      <c r="V659" s="32"/>
      <c r="X659" s="35"/>
      <c r="Y659" s="35"/>
      <c r="Z659" s="35"/>
    </row>
    <row r="660">
      <c r="A660" s="36"/>
      <c r="L660" s="37"/>
      <c r="V660" s="32"/>
      <c r="X660" s="35"/>
      <c r="Y660" s="35"/>
      <c r="Z660" s="35"/>
    </row>
    <row r="661">
      <c r="A661" s="36"/>
      <c r="L661" s="37"/>
      <c r="V661" s="32"/>
      <c r="X661" s="35"/>
      <c r="Y661" s="35"/>
      <c r="Z661" s="35"/>
    </row>
    <row r="662">
      <c r="A662" s="36"/>
      <c r="L662" s="37"/>
      <c r="V662" s="32"/>
      <c r="X662" s="35"/>
      <c r="Y662" s="35"/>
      <c r="Z662" s="35"/>
    </row>
    <row r="663">
      <c r="A663" s="36"/>
      <c r="L663" s="37"/>
      <c r="V663" s="32"/>
      <c r="X663" s="35"/>
      <c r="Y663" s="35"/>
      <c r="Z663" s="35"/>
    </row>
    <row r="664">
      <c r="A664" s="36"/>
      <c r="L664" s="37"/>
      <c r="V664" s="32"/>
      <c r="X664" s="35"/>
      <c r="Y664" s="35"/>
      <c r="Z664" s="35"/>
    </row>
    <row r="665">
      <c r="A665" s="36"/>
      <c r="L665" s="37"/>
      <c r="V665" s="32"/>
      <c r="X665" s="35"/>
      <c r="Y665" s="35"/>
      <c r="Z665" s="35"/>
    </row>
    <row r="666">
      <c r="A666" s="36"/>
      <c r="L666" s="37"/>
      <c r="V666" s="32"/>
      <c r="X666" s="35"/>
      <c r="Y666" s="35"/>
      <c r="Z666" s="35"/>
    </row>
    <row r="667">
      <c r="A667" s="36"/>
      <c r="L667" s="37"/>
      <c r="V667" s="32"/>
      <c r="X667" s="35"/>
      <c r="Y667" s="35"/>
      <c r="Z667" s="35"/>
    </row>
    <row r="668">
      <c r="A668" s="36"/>
      <c r="L668" s="37"/>
      <c r="V668" s="32"/>
      <c r="X668" s="35"/>
      <c r="Y668" s="35"/>
      <c r="Z668" s="35"/>
    </row>
    <row r="669">
      <c r="A669" s="36"/>
      <c r="L669" s="37"/>
      <c r="V669" s="32"/>
      <c r="X669" s="35"/>
      <c r="Y669" s="35"/>
      <c r="Z669" s="35"/>
    </row>
    <row r="670">
      <c r="A670" s="36"/>
      <c r="L670" s="37"/>
      <c r="V670" s="32"/>
      <c r="X670" s="35"/>
      <c r="Y670" s="35"/>
      <c r="Z670" s="35"/>
    </row>
    <row r="671">
      <c r="A671" s="36"/>
      <c r="L671" s="37"/>
      <c r="V671" s="32"/>
      <c r="X671" s="35"/>
      <c r="Y671" s="35"/>
      <c r="Z671" s="35"/>
    </row>
    <row r="672">
      <c r="A672" s="36"/>
      <c r="L672" s="37"/>
      <c r="V672" s="32"/>
      <c r="X672" s="35"/>
      <c r="Y672" s="35"/>
      <c r="Z672" s="35"/>
    </row>
    <row r="673">
      <c r="A673" s="36"/>
      <c r="L673" s="37"/>
      <c r="V673" s="32"/>
      <c r="X673" s="35"/>
      <c r="Y673" s="35"/>
      <c r="Z673" s="35"/>
    </row>
    <row r="674">
      <c r="A674" s="36"/>
      <c r="L674" s="37"/>
      <c r="V674" s="32"/>
      <c r="X674" s="35"/>
      <c r="Y674" s="35"/>
      <c r="Z674" s="35"/>
    </row>
    <row r="675">
      <c r="A675" s="36"/>
      <c r="L675" s="37"/>
      <c r="V675" s="32"/>
      <c r="X675" s="35"/>
      <c r="Y675" s="35"/>
      <c r="Z675" s="35"/>
    </row>
    <row r="676">
      <c r="A676" s="36"/>
      <c r="L676" s="37"/>
      <c r="V676" s="32"/>
      <c r="X676" s="35"/>
      <c r="Y676" s="35"/>
      <c r="Z676" s="35"/>
    </row>
    <row r="677">
      <c r="A677" s="36"/>
      <c r="L677" s="37"/>
      <c r="V677" s="32"/>
      <c r="X677" s="35"/>
      <c r="Y677" s="35"/>
      <c r="Z677" s="35"/>
    </row>
    <row r="678">
      <c r="A678" s="36"/>
      <c r="L678" s="37"/>
      <c r="V678" s="32"/>
      <c r="X678" s="35"/>
      <c r="Y678" s="35"/>
      <c r="Z678" s="35"/>
    </row>
    <row r="679">
      <c r="A679" s="36"/>
      <c r="L679" s="37"/>
      <c r="V679" s="32"/>
      <c r="X679" s="35"/>
      <c r="Y679" s="35"/>
      <c r="Z679" s="35"/>
    </row>
    <row r="680">
      <c r="A680" s="36"/>
      <c r="L680" s="37"/>
      <c r="V680" s="32"/>
      <c r="X680" s="35"/>
      <c r="Y680" s="35"/>
      <c r="Z680" s="35"/>
    </row>
    <row r="681">
      <c r="A681" s="36"/>
      <c r="L681" s="37"/>
      <c r="V681" s="32"/>
      <c r="X681" s="35"/>
      <c r="Y681" s="35"/>
      <c r="Z681" s="35"/>
    </row>
    <row r="682">
      <c r="A682" s="36"/>
      <c r="L682" s="37"/>
      <c r="V682" s="32"/>
      <c r="X682" s="35"/>
      <c r="Y682" s="35"/>
      <c r="Z682" s="35"/>
    </row>
    <row r="683">
      <c r="A683" s="36"/>
      <c r="L683" s="37"/>
      <c r="V683" s="32"/>
      <c r="X683" s="35"/>
      <c r="Y683" s="35"/>
      <c r="Z683" s="35"/>
    </row>
    <row r="684">
      <c r="A684" s="36"/>
      <c r="L684" s="37"/>
      <c r="V684" s="32"/>
      <c r="X684" s="35"/>
      <c r="Y684" s="35"/>
      <c r="Z684" s="35"/>
    </row>
    <row r="685">
      <c r="A685" s="36"/>
      <c r="L685" s="37"/>
      <c r="V685" s="32"/>
      <c r="X685" s="35"/>
      <c r="Y685" s="35"/>
      <c r="Z685" s="35"/>
    </row>
    <row r="686">
      <c r="A686" s="36"/>
      <c r="L686" s="37"/>
      <c r="V686" s="32"/>
      <c r="X686" s="35"/>
      <c r="Y686" s="35"/>
      <c r="Z686" s="35"/>
    </row>
    <row r="687">
      <c r="A687" s="36"/>
      <c r="L687" s="37"/>
      <c r="V687" s="32"/>
      <c r="X687" s="35"/>
      <c r="Y687" s="35"/>
      <c r="Z687" s="35"/>
    </row>
    <row r="688">
      <c r="A688" s="36"/>
      <c r="L688" s="37"/>
      <c r="V688" s="32"/>
      <c r="X688" s="35"/>
      <c r="Y688" s="35"/>
      <c r="Z688" s="35"/>
    </row>
    <row r="689">
      <c r="A689" s="36"/>
      <c r="L689" s="37"/>
      <c r="V689" s="32"/>
      <c r="X689" s="35"/>
      <c r="Y689" s="35"/>
      <c r="Z689" s="35"/>
    </row>
    <row r="690">
      <c r="A690" s="36"/>
      <c r="L690" s="37"/>
      <c r="V690" s="32"/>
      <c r="X690" s="35"/>
      <c r="Y690" s="35"/>
      <c r="Z690" s="35"/>
    </row>
    <row r="691">
      <c r="A691" s="36"/>
      <c r="L691" s="37"/>
      <c r="V691" s="32"/>
      <c r="X691" s="35"/>
      <c r="Y691" s="35"/>
      <c r="Z691" s="35"/>
    </row>
    <row r="692">
      <c r="A692" s="36"/>
      <c r="L692" s="37"/>
      <c r="V692" s="32"/>
      <c r="X692" s="35"/>
      <c r="Y692" s="35"/>
      <c r="Z692" s="35"/>
    </row>
    <row r="693">
      <c r="A693" s="36"/>
      <c r="L693" s="37"/>
      <c r="V693" s="32"/>
      <c r="X693" s="35"/>
      <c r="Y693" s="35"/>
      <c r="Z693" s="35"/>
    </row>
    <row r="694">
      <c r="A694" s="36"/>
      <c r="L694" s="37"/>
      <c r="V694" s="32"/>
      <c r="X694" s="35"/>
      <c r="Y694" s="35"/>
      <c r="Z694" s="35"/>
    </row>
    <row r="695">
      <c r="A695" s="36"/>
      <c r="L695" s="37"/>
      <c r="V695" s="32"/>
      <c r="X695" s="35"/>
      <c r="Y695" s="35"/>
      <c r="Z695" s="35"/>
    </row>
    <row r="696">
      <c r="A696" s="36"/>
      <c r="L696" s="37"/>
      <c r="V696" s="32"/>
      <c r="X696" s="35"/>
      <c r="Y696" s="35"/>
      <c r="Z696" s="35"/>
    </row>
    <row r="697">
      <c r="A697" s="36"/>
      <c r="L697" s="37"/>
      <c r="V697" s="32"/>
      <c r="X697" s="35"/>
      <c r="Y697" s="35"/>
      <c r="Z697" s="35"/>
    </row>
    <row r="698">
      <c r="A698" s="36"/>
      <c r="L698" s="37"/>
      <c r="V698" s="32"/>
      <c r="X698" s="35"/>
      <c r="Y698" s="35"/>
      <c r="Z698" s="35"/>
    </row>
    <row r="699">
      <c r="A699" s="36"/>
      <c r="L699" s="37"/>
      <c r="V699" s="32"/>
      <c r="X699" s="35"/>
      <c r="Y699" s="35"/>
      <c r="Z699" s="35"/>
    </row>
    <row r="700">
      <c r="A700" s="36"/>
      <c r="L700" s="37"/>
      <c r="V700" s="32"/>
      <c r="X700" s="35"/>
      <c r="Y700" s="35"/>
      <c r="Z700" s="35"/>
    </row>
    <row r="701">
      <c r="A701" s="36"/>
      <c r="L701" s="37"/>
      <c r="V701" s="32"/>
      <c r="X701" s="35"/>
      <c r="Y701" s="35"/>
      <c r="Z701" s="35"/>
    </row>
    <row r="702">
      <c r="A702" s="36"/>
      <c r="L702" s="37"/>
      <c r="V702" s="32"/>
      <c r="X702" s="35"/>
      <c r="Y702" s="35"/>
      <c r="Z702" s="35"/>
    </row>
    <row r="703">
      <c r="A703" s="36"/>
      <c r="L703" s="37"/>
      <c r="V703" s="32"/>
      <c r="X703" s="35"/>
      <c r="Y703" s="35"/>
      <c r="Z703" s="35"/>
    </row>
    <row r="704">
      <c r="A704" s="36"/>
      <c r="L704" s="37"/>
      <c r="V704" s="32"/>
      <c r="X704" s="35"/>
      <c r="Y704" s="35"/>
      <c r="Z704" s="35"/>
    </row>
    <row r="705">
      <c r="A705" s="36"/>
      <c r="L705" s="37"/>
      <c r="V705" s="32"/>
      <c r="X705" s="35"/>
      <c r="Y705" s="35"/>
      <c r="Z705" s="35"/>
    </row>
    <row r="706">
      <c r="A706" s="36"/>
      <c r="L706" s="37"/>
      <c r="V706" s="32"/>
      <c r="X706" s="35"/>
      <c r="Y706" s="35"/>
      <c r="Z706" s="35"/>
    </row>
    <row r="707">
      <c r="A707" s="36"/>
      <c r="L707" s="37"/>
      <c r="V707" s="32"/>
      <c r="X707" s="35"/>
      <c r="Y707" s="35"/>
      <c r="Z707" s="35"/>
    </row>
    <row r="708">
      <c r="A708" s="36"/>
      <c r="L708" s="37"/>
      <c r="V708" s="32"/>
      <c r="X708" s="35"/>
      <c r="Y708" s="35"/>
      <c r="Z708" s="35"/>
    </row>
    <row r="709">
      <c r="A709" s="36"/>
      <c r="L709" s="37"/>
      <c r="V709" s="32"/>
      <c r="X709" s="35"/>
      <c r="Y709" s="35"/>
      <c r="Z709" s="35"/>
    </row>
    <row r="710">
      <c r="A710" s="36"/>
      <c r="L710" s="37"/>
      <c r="V710" s="32"/>
      <c r="X710" s="35"/>
      <c r="Y710" s="35"/>
      <c r="Z710" s="35"/>
    </row>
    <row r="711">
      <c r="A711" s="36"/>
      <c r="L711" s="37"/>
      <c r="V711" s="32"/>
      <c r="X711" s="35"/>
      <c r="Y711" s="35"/>
      <c r="Z711" s="35"/>
    </row>
    <row r="712">
      <c r="A712" s="36"/>
      <c r="L712" s="37"/>
      <c r="V712" s="32"/>
      <c r="X712" s="35"/>
      <c r="Y712" s="35"/>
      <c r="Z712" s="35"/>
    </row>
    <row r="713">
      <c r="A713" s="36"/>
      <c r="L713" s="37"/>
      <c r="V713" s="32"/>
      <c r="X713" s="35"/>
      <c r="Y713" s="35"/>
      <c r="Z713" s="35"/>
    </row>
    <row r="714">
      <c r="A714" s="36"/>
      <c r="L714" s="37"/>
      <c r="V714" s="32"/>
      <c r="X714" s="35"/>
      <c r="Y714" s="35"/>
      <c r="Z714" s="35"/>
    </row>
    <row r="715">
      <c r="A715" s="36"/>
      <c r="L715" s="37"/>
      <c r="V715" s="32"/>
      <c r="X715" s="35"/>
      <c r="Y715" s="35"/>
      <c r="Z715" s="35"/>
    </row>
    <row r="716">
      <c r="A716" s="36"/>
      <c r="L716" s="37"/>
      <c r="V716" s="32"/>
      <c r="X716" s="35"/>
      <c r="Y716" s="35"/>
      <c r="Z716" s="35"/>
    </row>
    <row r="717">
      <c r="A717" s="36"/>
      <c r="L717" s="37"/>
      <c r="V717" s="32"/>
      <c r="X717" s="35"/>
      <c r="Y717" s="35"/>
      <c r="Z717" s="35"/>
    </row>
    <row r="718">
      <c r="A718" s="36"/>
      <c r="L718" s="37"/>
      <c r="V718" s="32"/>
      <c r="X718" s="35"/>
      <c r="Y718" s="35"/>
      <c r="Z718" s="35"/>
    </row>
    <row r="719">
      <c r="A719" s="36"/>
      <c r="L719" s="37"/>
      <c r="V719" s="32"/>
      <c r="X719" s="35"/>
      <c r="Y719" s="35"/>
      <c r="Z719" s="35"/>
    </row>
    <row r="720">
      <c r="A720" s="36"/>
      <c r="L720" s="37"/>
      <c r="V720" s="32"/>
      <c r="X720" s="35"/>
      <c r="Y720" s="35"/>
      <c r="Z720" s="35"/>
    </row>
    <row r="721">
      <c r="A721" s="36"/>
      <c r="L721" s="37"/>
      <c r="V721" s="32"/>
      <c r="X721" s="35"/>
      <c r="Y721" s="35"/>
      <c r="Z721" s="35"/>
    </row>
    <row r="722">
      <c r="A722" s="36"/>
      <c r="L722" s="37"/>
      <c r="V722" s="32"/>
      <c r="X722" s="35"/>
      <c r="Y722" s="35"/>
      <c r="Z722" s="35"/>
    </row>
    <row r="723">
      <c r="A723" s="36"/>
      <c r="L723" s="37"/>
      <c r="V723" s="32"/>
      <c r="X723" s="35"/>
      <c r="Y723" s="35"/>
      <c r="Z723" s="35"/>
    </row>
    <row r="724">
      <c r="A724" s="36"/>
      <c r="L724" s="37"/>
      <c r="V724" s="32"/>
      <c r="X724" s="35"/>
      <c r="Y724" s="35"/>
      <c r="Z724" s="35"/>
    </row>
    <row r="725">
      <c r="A725" s="36"/>
      <c r="L725" s="37"/>
      <c r="V725" s="32"/>
      <c r="X725" s="35"/>
      <c r="Y725" s="35"/>
      <c r="Z725" s="35"/>
    </row>
    <row r="726">
      <c r="A726" s="36"/>
      <c r="L726" s="37"/>
      <c r="V726" s="32"/>
      <c r="X726" s="35"/>
      <c r="Y726" s="35"/>
      <c r="Z726" s="35"/>
    </row>
    <row r="727">
      <c r="A727" s="36"/>
      <c r="L727" s="37"/>
      <c r="V727" s="32"/>
      <c r="X727" s="35"/>
      <c r="Y727" s="35"/>
      <c r="Z727" s="35"/>
    </row>
    <row r="728">
      <c r="A728" s="36"/>
      <c r="L728" s="37"/>
      <c r="V728" s="32"/>
      <c r="X728" s="35"/>
      <c r="Y728" s="35"/>
      <c r="Z728" s="35"/>
    </row>
    <row r="729">
      <c r="A729" s="36"/>
      <c r="L729" s="37"/>
      <c r="V729" s="32"/>
      <c r="X729" s="35"/>
      <c r="Y729" s="35"/>
      <c r="Z729" s="35"/>
    </row>
    <row r="730">
      <c r="A730" s="36"/>
      <c r="L730" s="37"/>
      <c r="V730" s="32"/>
      <c r="X730" s="35"/>
      <c r="Y730" s="35"/>
      <c r="Z730" s="35"/>
    </row>
    <row r="731">
      <c r="A731" s="36"/>
      <c r="L731" s="37"/>
      <c r="V731" s="32"/>
      <c r="X731" s="35"/>
      <c r="Y731" s="35"/>
      <c r="Z731" s="35"/>
    </row>
    <row r="732">
      <c r="A732" s="36"/>
      <c r="L732" s="37"/>
      <c r="V732" s="32"/>
      <c r="X732" s="35"/>
      <c r="Y732" s="35"/>
      <c r="Z732" s="35"/>
    </row>
    <row r="733">
      <c r="A733" s="36"/>
      <c r="L733" s="37"/>
      <c r="V733" s="32"/>
      <c r="X733" s="35"/>
      <c r="Y733" s="35"/>
      <c r="Z733" s="35"/>
    </row>
    <row r="734">
      <c r="A734" s="36"/>
      <c r="L734" s="37"/>
      <c r="V734" s="32"/>
      <c r="X734" s="35"/>
      <c r="Y734" s="35"/>
      <c r="Z734" s="35"/>
    </row>
    <row r="735">
      <c r="A735" s="36"/>
      <c r="L735" s="37"/>
      <c r="V735" s="32"/>
      <c r="X735" s="35"/>
      <c r="Y735" s="35"/>
      <c r="Z735" s="35"/>
    </row>
    <row r="736">
      <c r="A736" s="36"/>
      <c r="L736" s="37"/>
      <c r="V736" s="32"/>
      <c r="X736" s="35"/>
      <c r="Y736" s="35"/>
      <c r="Z736" s="35"/>
    </row>
    <row r="737">
      <c r="A737" s="36"/>
      <c r="L737" s="37"/>
      <c r="V737" s="32"/>
      <c r="X737" s="35"/>
      <c r="Y737" s="35"/>
      <c r="Z737" s="35"/>
    </row>
    <row r="738">
      <c r="A738" s="36"/>
      <c r="L738" s="37"/>
      <c r="V738" s="32"/>
      <c r="X738" s="35"/>
      <c r="Y738" s="35"/>
      <c r="Z738" s="35"/>
    </row>
    <row r="739">
      <c r="A739" s="36"/>
      <c r="L739" s="37"/>
      <c r="V739" s="32"/>
      <c r="X739" s="35"/>
      <c r="Y739" s="35"/>
      <c r="Z739" s="35"/>
    </row>
    <row r="740">
      <c r="A740" s="36"/>
      <c r="L740" s="37"/>
      <c r="V740" s="32"/>
      <c r="X740" s="35"/>
      <c r="Y740" s="35"/>
      <c r="Z740" s="35"/>
    </row>
    <row r="741">
      <c r="A741" s="36"/>
      <c r="L741" s="37"/>
      <c r="V741" s="32"/>
      <c r="X741" s="35"/>
      <c r="Y741" s="35"/>
      <c r="Z741" s="35"/>
    </row>
    <row r="742">
      <c r="A742" s="36"/>
      <c r="L742" s="37"/>
      <c r="V742" s="32"/>
      <c r="X742" s="35"/>
      <c r="Y742" s="35"/>
      <c r="Z742" s="35"/>
    </row>
    <row r="743">
      <c r="A743" s="36"/>
      <c r="L743" s="37"/>
      <c r="V743" s="32"/>
      <c r="X743" s="35"/>
      <c r="Y743" s="35"/>
      <c r="Z743" s="35"/>
    </row>
    <row r="744">
      <c r="A744" s="36"/>
      <c r="L744" s="37"/>
      <c r="V744" s="32"/>
      <c r="X744" s="35"/>
      <c r="Y744" s="35"/>
      <c r="Z744" s="35"/>
    </row>
    <row r="745">
      <c r="A745" s="36"/>
      <c r="L745" s="37"/>
      <c r="V745" s="32"/>
      <c r="X745" s="35"/>
      <c r="Y745" s="35"/>
      <c r="Z745" s="35"/>
    </row>
    <row r="746">
      <c r="A746" s="36"/>
      <c r="L746" s="37"/>
      <c r="V746" s="32"/>
      <c r="X746" s="35"/>
      <c r="Y746" s="35"/>
      <c r="Z746" s="35"/>
    </row>
    <row r="747">
      <c r="A747" s="36"/>
      <c r="L747" s="37"/>
      <c r="V747" s="32"/>
      <c r="X747" s="35"/>
      <c r="Y747" s="35"/>
      <c r="Z747" s="35"/>
    </row>
    <row r="748">
      <c r="A748" s="36"/>
      <c r="L748" s="37"/>
      <c r="V748" s="32"/>
      <c r="X748" s="35"/>
      <c r="Y748" s="35"/>
      <c r="Z748" s="35"/>
    </row>
    <row r="749">
      <c r="A749" s="36"/>
      <c r="L749" s="37"/>
      <c r="V749" s="32"/>
      <c r="X749" s="35"/>
      <c r="Y749" s="35"/>
      <c r="Z749" s="35"/>
    </row>
    <row r="750">
      <c r="A750" s="36"/>
      <c r="L750" s="37"/>
      <c r="V750" s="32"/>
      <c r="X750" s="35"/>
      <c r="Y750" s="35"/>
      <c r="Z750" s="35"/>
    </row>
    <row r="751">
      <c r="A751" s="36"/>
      <c r="L751" s="37"/>
      <c r="V751" s="32"/>
      <c r="X751" s="35"/>
      <c r="Y751" s="35"/>
      <c r="Z751" s="35"/>
    </row>
    <row r="752">
      <c r="A752" s="36"/>
      <c r="L752" s="37"/>
      <c r="V752" s="32"/>
      <c r="X752" s="35"/>
      <c r="Y752" s="35"/>
      <c r="Z752" s="35"/>
    </row>
    <row r="753">
      <c r="A753" s="36"/>
      <c r="L753" s="37"/>
      <c r="V753" s="32"/>
      <c r="X753" s="35"/>
      <c r="Y753" s="35"/>
      <c r="Z753" s="35"/>
    </row>
    <row r="754">
      <c r="A754" s="36"/>
      <c r="L754" s="37"/>
      <c r="V754" s="32"/>
      <c r="X754" s="35"/>
      <c r="Y754" s="35"/>
      <c r="Z754" s="35"/>
    </row>
    <row r="755">
      <c r="A755" s="36"/>
      <c r="L755" s="37"/>
      <c r="V755" s="32"/>
      <c r="X755" s="35"/>
      <c r="Y755" s="35"/>
      <c r="Z755" s="35"/>
    </row>
    <row r="756">
      <c r="A756" s="36"/>
      <c r="L756" s="37"/>
      <c r="V756" s="32"/>
      <c r="X756" s="35"/>
      <c r="Y756" s="35"/>
      <c r="Z756" s="35"/>
    </row>
    <row r="757">
      <c r="A757" s="36"/>
      <c r="L757" s="37"/>
      <c r="V757" s="32"/>
      <c r="X757" s="35"/>
      <c r="Y757" s="35"/>
      <c r="Z757" s="35"/>
    </row>
    <row r="758">
      <c r="A758" s="36"/>
      <c r="L758" s="37"/>
      <c r="V758" s="32"/>
      <c r="X758" s="35"/>
      <c r="Y758" s="35"/>
      <c r="Z758" s="35"/>
    </row>
    <row r="759">
      <c r="A759" s="36"/>
      <c r="L759" s="37"/>
      <c r="V759" s="32"/>
      <c r="X759" s="35"/>
      <c r="Y759" s="35"/>
      <c r="Z759" s="35"/>
    </row>
    <row r="760">
      <c r="A760" s="36"/>
      <c r="L760" s="37"/>
      <c r="V760" s="32"/>
      <c r="X760" s="35"/>
      <c r="Y760" s="35"/>
      <c r="Z760" s="35"/>
    </row>
    <row r="761">
      <c r="A761" s="36"/>
      <c r="L761" s="37"/>
      <c r="V761" s="32"/>
      <c r="X761" s="35"/>
      <c r="Y761" s="35"/>
      <c r="Z761" s="35"/>
    </row>
    <row r="762">
      <c r="A762" s="36"/>
      <c r="L762" s="37"/>
      <c r="V762" s="32"/>
      <c r="X762" s="35"/>
      <c r="Y762" s="35"/>
      <c r="Z762" s="35"/>
    </row>
    <row r="763">
      <c r="A763" s="36"/>
      <c r="L763" s="37"/>
      <c r="V763" s="32"/>
      <c r="X763" s="35"/>
      <c r="Y763" s="35"/>
      <c r="Z763" s="35"/>
    </row>
    <row r="764">
      <c r="A764" s="36"/>
      <c r="L764" s="37"/>
      <c r="V764" s="32"/>
      <c r="X764" s="35"/>
      <c r="Y764" s="35"/>
      <c r="Z764" s="35"/>
    </row>
    <row r="765">
      <c r="A765" s="36"/>
      <c r="L765" s="37"/>
      <c r="V765" s="32"/>
      <c r="X765" s="35"/>
      <c r="Y765" s="35"/>
      <c r="Z765" s="35"/>
    </row>
    <row r="766">
      <c r="A766" s="36"/>
      <c r="L766" s="37"/>
      <c r="V766" s="32"/>
      <c r="X766" s="35"/>
      <c r="Y766" s="35"/>
      <c r="Z766" s="35"/>
    </row>
    <row r="767">
      <c r="A767" s="36"/>
      <c r="L767" s="37"/>
      <c r="V767" s="32"/>
      <c r="X767" s="35"/>
      <c r="Y767" s="35"/>
      <c r="Z767" s="35"/>
    </row>
    <row r="768">
      <c r="A768" s="36"/>
      <c r="L768" s="37"/>
      <c r="V768" s="32"/>
      <c r="X768" s="35"/>
      <c r="Y768" s="35"/>
      <c r="Z768" s="35"/>
    </row>
    <row r="769">
      <c r="A769" s="36"/>
      <c r="L769" s="37"/>
      <c r="V769" s="32"/>
      <c r="X769" s="35"/>
      <c r="Y769" s="35"/>
      <c r="Z769" s="35"/>
    </row>
    <row r="770">
      <c r="A770" s="36"/>
      <c r="L770" s="37"/>
      <c r="V770" s="32"/>
      <c r="X770" s="35"/>
      <c r="Y770" s="35"/>
      <c r="Z770" s="35"/>
    </row>
    <row r="771">
      <c r="A771" s="36"/>
      <c r="L771" s="37"/>
      <c r="V771" s="32"/>
      <c r="X771" s="35"/>
      <c r="Y771" s="35"/>
      <c r="Z771" s="35"/>
    </row>
    <row r="772">
      <c r="A772" s="36"/>
      <c r="L772" s="37"/>
      <c r="V772" s="32"/>
      <c r="X772" s="35"/>
      <c r="Y772" s="35"/>
      <c r="Z772" s="35"/>
    </row>
    <row r="773">
      <c r="A773" s="36"/>
      <c r="L773" s="37"/>
      <c r="V773" s="32"/>
      <c r="X773" s="35"/>
      <c r="Y773" s="35"/>
      <c r="Z773" s="35"/>
    </row>
    <row r="774">
      <c r="A774" s="36"/>
      <c r="L774" s="37"/>
      <c r="V774" s="32"/>
      <c r="X774" s="35"/>
      <c r="Y774" s="35"/>
      <c r="Z774" s="35"/>
    </row>
    <row r="775">
      <c r="A775" s="36"/>
      <c r="L775" s="37"/>
      <c r="V775" s="32"/>
      <c r="X775" s="35"/>
      <c r="Y775" s="35"/>
      <c r="Z775" s="35"/>
    </row>
    <row r="776">
      <c r="A776" s="36"/>
      <c r="L776" s="37"/>
      <c r="V776" s="32"/>
      <c r="X776" s="35"/>
      <c r="Y776" s="35"/>
      <c r="Z776" s="35"/>
    </row>
    <row r="777">
      <c r="A777" s="36"/>
      <c r="L777" s="37"/>
      <c r="V777" s="32"/>
      <c r="X777" s="35"/>
      <c r="Y777" s="35"/>
      <c r="Z777" s="35"/>
    </row>
    <row r="778">
      <c r="A778" s="36"/>
      <c r="L778" s="37"/>
      <c r="V778" s="32"/>
      <c r="X778" s="35"/>
      <c r="Y778" s="35"/>
      <c r="Z778" s="35"/>
    </row>
    <row r="779">
      <c r="A779" s="36"/>
      <c r="L779" s="37"/>
      <c r="V779" s="32"/>
      <c r="X779" s="35"/>
      <c r="Y779" s="35"/>
      <c r="Z779" s="35"/>
    </row>
    <row r="780">
      <c r="A780" s="36"/>
      <c r="L780" s="37"/>
      <c r="V780" s="32"/>
      <c r="X780" s="35"/>
      <c r="Y780" s="35"/>
      <c r="Z780" s="35"/>
    </row>
    <row r="781">
      <c r="A781" s="36"/>
      <c r="L781" s="37"/>
      <c r="V781" s="32"/>
      <c r="X781" s="35"/>
      <c r="Y781" s="35"/>
      <c r="Z781" s="35"/>
    </row>
    <row r="782">
      <c r="A782" s="36"/>
      <c r="L782" s="37"/>
      <c r="V782" s="32"/>
      <c r="X782" s="35"/>
      <c r="Y782" s="35"/>
      <c r="Z782" s="35"/>
    </row>
    <row r="783">
      <c r="A783" s="36"/>
      <c r="L783" s="37"/>
      <c r="V783" s="32"/>
      <c r="X783" s="35"/>
      <c r="Y783" s="35"/>
      <c r="Z783" s="35"/>
    </row>
    <row r="784">
      <c r="A784" s="36"/>
      <c r="L784" s="37"/>
      <c r="V784" s="32"/>
      <c r="X784" s="35"/>
      <c r="Y784" s="35"/>
      <c r="Z784" s="35"/>
    </row>
    <row r="785">
      <c r="A785" s="36"/>
      <c r="L785" s="37"/>
      <c r="V785" s="32"/>
      <c r="X785" s="35"/>
      <c r="Y785" s="35"/>
      <c r="Z785" s="35"/>
    </row>
    <row r="786">
      <c r="A786" s="36"/>
      <c r="L786" s="37"/>
      <c r="V786" s="32"/>
      <c r="X786" s="35"/>
      <c r="Y786" s="35"/>
      <c r="Z786" s="35"/>
    </row>
    <row r="787">
      <c r="A787" s="36"/>
      <c r="L787" s="37"/>
      <c r="V787" s="32"/>
      <c r="X787" s="35"/>
      <c r="Y787" s="35"/>
      <c r="Z787" s="35"/>
    </row>
    <row r="788">
      <c r="A788" s="36"/>
      <c r="L788" s="37"/>
      <c r="V788" s="32"/>
      <c r="X788" s="35"/>
      <c r="Y788" s="35"/>
      <c r="Z788" s="35"/>
    </row>
    <row r="789">
      <c r="A789" s="36"/>
      <c r="L789" s="37"/>
      <c r="V789" s="32"/>
      <c r="X789" s="35"/>
      <c r="Y789" s="35"/>
      <c r="Z789" s="35"/>
    </row>
    <row r="790">
      <c r="A790" s="36"/>
      <c r="L790" s="37"/>
      <c r="V790" s="32"/>
      <c r="X790" s="35"/>
      <c r="Y790" s="35"/>
      <c r="Z790" s="35"/>
    </row>
    <row r="791">
      <c r="A791" s="36"/>
      <c r="L791" s="37"/>
      <c r="V791" s="32"/>
      <c r="X791" s="35"/>
      <c r="Y791" s="35"/>
      <c r="Z791" s="35"/>
    </row>
    <row r="792">
      <c r="A792" s="36"/>
      <c r="L792" s="37"/>
      <c r="V792" s="32"/>
      <c r="X792" s="35"/>
      <c r="Y792" s="35"/>
      <c r="Z792" s="35"/>
    </row>
    <row r="793">
      <c r="A793" s="36"/>
      <c r="L793" s="37"/>
      <c r="V793" s="32"/>
      <c r="X793" s="35"/>
      <c r="Y793" s="35"/>
      <c r="Z793" s="35"/>
    </row>
    <row r="794">
      <c r="A794" s="36"/>
      <c r="L794" s="37"/>
      <c r="V794" s="32"/>
      <c r="X794" s="35"/>
      <c r="Y794" s="35"/>
      <c r="Z794" s="35"/>
    </row>
    <row r="795">
      <c r="A795" s="36"/>
      <c r="L795" s="37"/>
      <c r="V795" s="32"/>
      <c r="X795" s="35"/>
      <c r="Y795" s="35"/>
      <c r="Z795" s="35"/>
    </row>
    <row r="796">
      <c r="A796" s="36"/>
      <c r="L796" s="37"/>
      <c r="V796" s="32"/>
      <c r="X796" s="35"/>
      <c r="Y796" s="35"/>
      <c r="Z796" s="35"/>
    </row>
    <row r="797">
      <c r="A797" s="36"/>
      <c r="L797" s="37"/>
      <c r="V797" s="32"/>
      <c r="X797" s="35"/>
      <c r="Y797" s="35"/>
      <c r="Z797" s="35"/>
    </row>
    <row r="798">
      <c r="A798" s="36"/>
      <c r="L798" s="37"/>
      <c r="V798" s="32"/>
      <c r="X798" s="35"/>
      <c r="Y798" s="35"/>
      <c r="Z798" s="35"/>
    </row>
    <row r="799">
      <c r="A799" s="36"/>
      <c r="L799" s="37"/>
      <c r="V799" s="32"/>
      <c r="X799" s="35"/>
      <c r="Y799" s="35"/>
      <c r="Z799" s="35"/>
    </row>
    <row r="800">
      <c r="A800" s="36"/>
      <c r="L800" s="37"/>
      <c r="V800" s="32"/>
      <c r="X800" s="35"/>
      <c r="Y800" s="35"/>
      <c r="Z800" s="35"/>
    </row>
    <row r="801">
      <c r="A801" s="36"/>
      <c r="L801" s="37"/>
      <c r="V801" s="32"/>
      <c r="X801" s="35"/>
      <c r="Y801" s="35"/>
      <c r="Z801" s="35"/>
    </row>
    <row r="802">
      <c r="A802" s="36"/>
      <c r="L802" s="37"/>
      <c r="V802" s="32"/>
      <c r="X802" s="35"/>
      <c r="Y802" s="35"/>
      <c r="Z802" s="35"/>
    </row>
    <row r="803">
      <c r="A803" s="36"/>
      <c r="L803" s="37"/>
      <c r="V803" s="32"/>
      <c r="X803" s="35"/>
      <c r="Y803" s="35"/>
      <c r="Z803" s="35"/>
    </row>
    <row r="804">
      <c r="A804" s="36"/>
      <c r="L804" s="37"/>
      <c r="V804" s="32"/>
      <c r="X804" s="35"/>
      <c r="Y804" s="35"/>
      <c r="Z804" s="35"/>
    </row>
    <row r="805">
      <c r="A805" s="36"/>
      <c r="L805" s="37"/>
      <c r="V805" s="32"/>
      <c r="X805" s="35"/>
      <c r="Y805" s="35"/>
      <c r="Z805" s="35"/>
    </row>
    <row r="806">
      <c r="A806" s="36"/>
      <c r="L806" s="37"/>
      <c r="V806" s="32"/>
      <c r="X806" s="35"/>
      <c r="Y806" s="35"/>
      <c r="Z806" s="35"/>
    </row>
    <row r="807">
      <c r="A807" s="36"/>
      <c r="L807" s="37"/>
      <c r="V807" s="32"/>
      <c r="X807" s="35"/>
      <c r="Y807" s="35"/>
      <c r="Z807" s="35"/>
    </row>
    <row r="808">
      <c r="A808" s="36"/>
      <c r="L808" s="37"/>
      <c r="V808" s="32"/>
      <c r="X808" s="35"/>
      <c r="Y808" s="35"/>
      <c r="Z808" s="35"/>
    </row>
    <row r="809">
      <c r="A809" s="36"/>
      <c r="L809" s="37"/>
      <c r="V809" s="32"/>
      <c r="X809" s="35"/>
      <c r="Y809" s="35"/>
      <c r="Z809" s="35"/>
    </row>
    <row r="810">
      <c r="A810" s="36"/>
      <c r="L810" s="37"/>
      <c r="V810" s="32"/>
      <c r="X810" s="35"/>
      <c r="Y810" s="35"/>
      <c r="Z810" s="35"/>
    </row>
    <row r="811">
      <c r="A811" s="36"/>
      <c r="L811" s="37"/>
      <c r="V811" s="32"/>
      <c r="X811" s="35"/>
      <c r="Y811" s="35"/>
      <c r="Z811" s="35"/>
    </row>
    <row r="812">
      <c r="A812" s="36"/>
      <c r="L812" s="37"/>
      <c r="V812" s="32"/>
      <c r="X812" s="35"/>
      <c r="Y812" s="35"/>
      <c r="Z812" s="35"/>
    </row>
    <row r="813">
      <c r="A813" s="36"/>
      <c r="L813" s="37"/>
      <c r="V813" s="32"/>
      <c r="X813" s="35"/>
      <c r="Y813" s="35"/>
      <c r="Z813" s="35"/>
    </row>
    <row r="814">
      <c r="A814" s="36"/>
      <c r="L814" s="37"/>
      <c r="V814" s="32"/>
      <c r="X814" s="35"/>
      <c r="Y814" s="35"/>
      <c r="Z814" s="35"/>
    </row>
    <row r="815">
      <c r="A815" s="36"/>
      <c r="L815" s="37"/>
      <c r="V815" s="32"/>
      <c r="X815" s="35"/>
      <c r="Y815" s="35"/>
      <c r="Z815" s="35"/>
    </row>
    <row r="816">
      <c r="A816" s="36"/>
      <c r="L816" s="37"/>
      <c r="V816" s="32"/>
      <c r="X816" s="35"/>
      <c r="Y816" s="35"/>
      <c r="Z816" s="35"/>
    </row>
    <row r="817">
      <c r="A817" s="36"/>
      <c r="L817" s="37"/>
      <c r="V817" s="32"/>
      <c r="X817" s="35"/>
      <c r="Y817" s="35"/>
      <c r="Z817" s="35"/>
    </row>
    <row r="818">
      <c r="A818" s="36"/>
      <c r="L818" s="37"/>
      <c r="V818" s="32"/>
      <c r="X818" s="35"/>
      <c r="Y818" s="35"/>
      <c r="Z818" s="35"/>
    </row>
    <row r="819">
      <c r="A819" s="36"/>
      <c r="L819" s="37"/>
      <c r="V819" s="32"/>
      <c r="X819" s="35"/>
      <c r="Y819" s="35"/>
      <c r="Z819" s="35"/>
    </row>
    <row r="820">
      <c r="A820" s="36"/>
      <c r="L820" s="37"/>
      <c r="V820" s="32"/>
      <c r="X820" s="35"/>
      <c r="Y820" s="35"/>
      <c r="Z820" s="35"/>
    </row>
    <row r="821">
      <c r="A821" s="36"/>
      <c r="L821" s="37"/>
      <c r="V821" s="32"/>
      <c r="X821" s="35"/>
      <c r="Y821" s="35"/>
      <c r="Z821" s="35"/>
    </row>
    <row r="822">
      <c r="A822" s="36"/>
      <c r="L822" s="37"/>
      <c r="V822" s="32"/>
      <c r="X822" s="35"/>
      <c r="Y822" s="35"/>
      <c r="Z822" s="35"/>
    </row>
    <row r="823">
      <c r="A823" s="36"/>
      <c r="L823" s="37"/>
      <c r="V823" s="32"/>
      <c r="X823" s="35"/>
      <c r="Y823" s="35"/>
      <c r="Z823" s="35"/>
    </row>
    <row r="824">
      <c r="A824" s="36"/>
      <c r="L824" s="37"/>
      <c r="V824" s="32"/>
      <c r="X824" s="35"/>
      <c r="Y824" s="35"/>
      <c r="Z824" s="35"/>
    </row>
    <row r="825">
      <c r="A825" s="36"/>
      <c r="L825" s="37"/>
      <c r="V825" s="32"/>
      <c r="X825" s="35"/>
      <c r="Y825" s="35"/>
      <c r="Z825" s="35"/>
    </row>
    <row r="826">
      <c r="A826" s="36"/>
      <c r="L826" s="37"/>
      <c r="V826" s="32"/>
      <c r="X826" s="35"/>
      <c r="Y826" s="35"/>
      <c r="Z826" s="35"/>
    </row>
    <row r="827">
      <c r="A827" s="36"/>
      <c r="L827" s="37"/>
      <c r="V827" s="32"/>
      <c r="X827" s="35"/>
      <c r="Y827" s="35"/>
      <c r="Z827" s="35"/>
    </row>
    <row r="828">
      <c r="A828" s="36"/>
      <c r="L828" s="37"/>
      <c r="V828" s="32"/>
      <c r="X828" s="35"/>
      <c r="Y828" s="35"/>
      <c r="Z828" s="35"/>
    </row>
    <row r="829">
      <c r="A829" s="36"/>
      <c r="L829" s="37"/>
      <c r="V829" s="32"/>
      <c r="X829" s="35"/>
      <c r="Y829" s="35"/>
      <c r="Z829" s="35"/>
    </row>
    <row r="830">
      <c r="A830" s="36"/>
      <c r="L830" s="37"/>
      <c r="V830" s="32"/>
      <c r="X830" s="35"/>
      <c r="Y830" s="35"/>
      <c r="Z830" s="35"/>
    </row>
    <row r="831">
      <c r="A831" s="36"/>
      <c r="L831" s="37"/>
      <c r="V831" s="32"/>
      <c r="X831" s="35"/>
      <c r="Y831" s="35"/>
      <c r="Z831" s="35"/>
    </row>
    <row r="832">
      <c r="A832" s="36"/>
      <c r="L832" s="37"/>
      <c r="V832" s="32"/>
      <c r="X832" s="35"/>
      <c r="Y832" s="35"/>
      <c r="Z832" s="35"/>
    </row>
    <row r="833">
      <c r="A833" s="36"/>
      <c r="L833" s="37"/>
      <c r="V833" s="32"/>
      <c r="X833" s="35"/>
      <c r="Y833" s="35"/>
      <c r="Z833" s="35"/>
    </row>
    <row r="834">
      <c r="A834" s="36"/>
      <c r="L834" s="37"/>
      <c r="V834" s="32"/>
      <c r="X834" s="35"/>
      <c r="Y834" s="35"/>
      <c r="Z834" s="35"/>
    </row>
    <row r="835">
      <c r="A835" s="36"/>
      <c r="L835" s="37"/>
      <c r="V835" s="32"/>
      <c r="X835" s="35"/>
      <c r="Y835" s="35"/>
      <c r="Z835" s="35"/>
    </row>
    <row r="836">
      <c r="A836" s="36"/>
      <c r="L836" s="37"/>
      <c r="V836" s="32"/>
      <c r="X836" s="35"/>
      <c r="Y836" s="35"/>
      <c r="Z836" s="35"/>
    </row>
    <row r="837">
      <c r="A837" s="36"/>
      <c r="L837" s="37"/>
      <c r="V837" s="32"/>
      <c r="X837" s="35"/>
      <c r="Y837" s="35"/>
      <c r="Z837" s="35"/>
    </row>
    <row r="838">
      <c r="A838" s="36"/>
      <c r="L838" s="37"/>
      <c r="V838" s="32"/>
      <c r="X838" s="35"/>
      <c r="Y838" s="35"/>
      <c r="Z838" s="35"/>
    </row>
    <row r="839">
      <c r="A839" s="36"/>
      <c r="L839" s="37"/>
      <c r="V839" s="32"/>
      <c r="X839" s="35"/>
      <c r="Y839" s="35"/>
      <c r="Z839" s="35"/>
    </row>
    <row r="840">
      <c r="A840" s="36"/>
      <c r="L840" s="37"/>
      <c r="V840" s="32"/>
      <c r="X840" s="35"/>
      <c r="Y840" s="35"/>
      <c r="Z840" s="35"/>
    </row>
    <row r="841">
      <c r="A841" s="36"/>
      <c r="L841" s="37"/>
      <c r="V841" s="32"/>
      <c r="X841" s="35"/>
      <c r="Y841" s="35"/>
      <c r="Z841" s="35"/>
    </row>
    <row r="842">
      <c r="A842" s="36"/>
      <c r="L842" s="37"/>
      <c r="V842" s="32"/>
      <c r="X842" s="35"/>
      <c r="Y842" s="35"/>
      <c r="Z842" s="35"/>
    </row>
    <row r="843">
      <c r="A843" s="36"/>
      <c r="L843" s="37"/>
      <c r="V843" s="32"/>
      <c r="X843" s="35"/>
      <c r="Y843" s="35"/>
      <c r="Z843" s="35"/>
    </row>
    <row r="844">
      <c r="A844" s="36"/>
      <c r="L844" s="37"/>
      <c r="V844" s="32"/>
      <c r="X844" s="35"/>
      <c r="Y844" s="35"/>
      <c r="Z844" s="35"/>
    </row>
    <row r="845">
      <c r="A845" s="36"/>
      <c r="L845" s="37"/>
      <c r="V845" s="32"/>
      <c r="X845" s="35"/>
      <c r="Y845" s="35"/>
      <c r="Z845" s="35"/>
    </row>
    <row r="846">
      <c r="A846" s="36"/>
      <c r="L846" s="37"/>
      <c r="V846" s="32"/>
      <c r="X846" s="35"/>
      <c r="Y846" s="35"/>
      <c r="Z846" s="35"/>
    </row>
    <row r="847">
      <c r="A847" s="36"/>
      <c r="L847" s="37"/>
      <c r="V847" s="32"/>
      <c r="X847" s="35"/>
      <c r="Y847" s="35"/>
      <c r="Z847" s="35"/>
    </row>
    <row r="848">
      <c r="A848" s="36"/>
      <c r="L848" s="37"/>
      <c r="V848" s="32"/>
      <c r="X848" s="35"/>
      <c r="Y848" s="35"/>
      <c r="Z848" s="35"/>
    </row>
    <row r="849">
      <c r="A849" s="36"/>
      <c r="L849" s="37"/>
      <c r="V849" s="32"/>
      <c r="X849" s="35"/>
      <c r="Y849" s="35"/>
      <c r="Z849" s="35"/>
    </row>
    <row r="850">
      <c r="A850" s="36"/>
      <c r="L850" s="37"/>
      <c r="V850" s="32"/>
      <c r="X850" s="35"/>
      <c r="Y850" s="35"/>
      <c r="Z850" s="35"/>
    </row>
    <row r="851">
      <c r="A851" s="36"/>
      <c r="L851" s="37"/>
      <c r="V851" s="32"/>
      <c r="X851" s="35"/>
      <c r="Y851" s="35"/>
      <c r="Z851" s="35"/>
    </row>
    <row r="852">
      <c r="A852" s="36"/>
      <c r="L852" s="37"/>
      <c r="V852" s="32"/>
      <c r="X852" s="35"/>
      <c r="Y852" s="35"/>
      <c r="Z852" s="35"/>
    </row>
    <row r="853">
      <c r="A853" s="36"/>
      <c r="L853" s="37"/>
      <c r="V853" s="32"/>
      <c r="X853" s="35"/>
      <c r="Y853" s="35"/>
      <c r="Z853" s="35"/>
    </row>
    <row r="854">
      <c r="A854" s="36"/>
      <c r="L854" s="37"/>
      <c r="V854" s="32"/>
      <c r="X854" s="35"/>
      <c r="Y854" s="35"/>
      <c r="Z854" s="35"/>
    </row>
    <row r="855">
      <c r="A855" s="36"/>
      <c r="L855" s="37"/>
      <c r="V855" s="32"/>
      <c r="X855" s="35"/>
      <c r="Y855" s="35"/>
      <c r="Z855" s="35"/>
    </row>
    <row r="856">
      <c r="A856" s="36"/>
      <c r="L856" s="37"/>
      <c r="V856" s="32"/>
      <c r="X856" s="35"/>
      <c r="Y856" s="35"/>
      <c r="Z856" s="35"/>
    </row>
    <row r="857">
      <c r="A857" s="36"/>
      <c r="L857" s="37"/>
      <c r="V857" s="32"/>
      <c r="X857" s="35"/>
      <c r="Y857" s="35"/>
      <c r="Z857" s="35"/>
    </row>
    <row r="858">
      <c r="A858" s="36"/>
      <c r="L858" s="37"/>
      <c r="V858" s="32"/>
      <c r="X858" s="35"/>
      <c r="Y858" s="35"/>
      <c r="Z858" s="35"/>
    </row>
    <row r="859">
      <c r="A859" s="36"/>
      <c r="L859" s="37"/>
      <c r="V859" s="32"/>
      <c r="X859" s="35"/>
      <c r="Y859" s="35"/>
      <c r="Z859" s="35"/>
    </row>
    <row r="860">
      <c r="A860" s="36"/>
      <c r="L860" s="37"/>
      <c r="V860" s="32"/>
      <c r="X860" s="35"/>
      <c r="Y860" s="35"/>
      <c r="Z860" s="35"/>
    </row>
    <row r="861">
      <c r="A861" s="36"/>
      <c r="L861" s="37"/>
      <c r="V861" s="32"/>
      <c r="X861" s="35"/>
      <c r="Y861" s="35"/>
      <c r="Z861" s="35"/>
    </row>
    <row r="862">
      <c r="A862" s="36"/>
      <c r="L862" s="37"/>
      <c r="V862" s="32"/>
      <c r="X862" s="35"/>
      <c r="Y862" s="35"/>
      <c r="Z862" s="35"/>
    </row>
    <row r="863">
      <c r="A863" s="36"/>
      <c r="L863" s="37"/>
      <c r="V863" s="32"/>
      <c r="X863" s="35"/>
      <c r="Y863" s="35"/>
      <c r="Z863" s="35"/>
    </row>
    <row r="864">
      <c r="A864" s="36"/>
      <c r="L864" s="37"/>
      <c r="V864" s="32"/>
      <c r="X864" s="35"/>
      <c r="Y864" s="35"/>
      <c r="Z864" s="35"/>
    </row>
    <row r="865">
      <c r="A865" s="36"/>
      <c r="L865" s="37"/>
      <c r="V865" s="32"/>
      <c r="X865" s="35"/>
      <c r="Y865" s="35"/>
      <c r="Z865" s="35"/>
    </row>
    <row r="866">
      <c r="A866" s="36"/>
      <c r="L866" s="37"/>
      <c r="V866" s="32"/>
      <c r="X866" s="35"/>
      <c r="Y866" s="35"/>
      <c r="Z866" s="35"/>
    </row>
    <row r="867">
      <c r="A867" s="36"/>
      <c r="L867" s="37"/>
      <c r="V867" s="32"/>
      <c r="X867" s="35"/>
      <c r="Y867" s="35"/>
      <c r="Z867" s="35"/>
    </row>
    <row r="868">
      <c r="A868" s="36"/>
      <c r="L868" s="37"/>
      <c r="V868" s="32"/>
      <c r="X868" s="35"/>
      <c r="Y868" s="35"/>
      <c r="Z868" s="35"/>
    </row>
    <row r="869">
      <c r="A869" s="36"/>
      <c r="L869" s="37"/>
      <c r="V869" s="32"/>
      <c r="X869" s="35"/>
      <c r="Y869" s="35"/>
      <c r="Z869" s="35"/>
    </row>
    <row r="870">
      <c r="A870" s="36"/>
      <c r="L870" s="37"/>
      <c r="V870" s="32"/>
      <c r="X870" s="35"/>
      <c r="Y870" s="35"/>
      <c r="Z870" s="35"/>
    </row>
    <row r="871">
      <c r="A871" s="36"/>
      <c r="L871" s="37"/>
      <c r="V871" s="32"/>
      <c r="X871" s="35"/>
      <c r="Y871" s="35"/>
      <c r="Z871" s="35"/>
    </row>
    <row r="872">
      <c r="A872" s="36"/>
      <c r="L872" s="37"/>
      <c r="V872" s="32"/>
      <c r="X872" s="35"/>
      <c r="Y872" s="35"/>
      <c r="Z872" s="35"/>
    </row>
    <row r="873">
      <c r="A873" s="36"/>
      <c r="L873" s="37"/>
      <c r="V873" s="32"/>
      <c r="X873" s="35"/>
      <c r="Y873" s="35"/>
      <c r="Z873" s="35"/>
    </row>
    <row r="874">
      <c r="A874" s="36"/>
      <c r="L874" s="37"/>
      <c r="V874" s="32"/>
      <c r="X874" s="35"/>
      <c r="Y874" s="35"/>
      <c r="Z874" s="35"/>
    </row>
    <row r="875">
      <c r="A875" s="36"/>
      <c r="L875" s="37"/>
      <c r="V875" s="32"/>
      <c r="X875" s="35"/>
      <c r="Y875" s="35"/>
      <c r="Z875" s="35"/>
    </row>
    <row r="876">
      <c r="A876" s="36"/>
      <c r="L876" s="37"/>
      <c r="V876" s="32"/>
      <c r="X876" s="35"/>
      <c r="Y876" s="35"/>
      <c r="Z876" s="35"/>
    </row>
    <row r="877">
      <c r="A877" s="36"/>
      <c r="L877" s="37"/>
      <c r="V877" s="32"/>
      <c r="X877" s="35"/>
      <c r="Y877" s="35"/>
      <c r="Z877" s="35"/>
    </row>
    <row r="878">
      <c r="A878" s="36"/>
      <c r="L878" s="37"/>
      <c r="V878" s="32"/>
      <c r="X878" s="35"/>
      <c r="Y878" s="35"/>
      <c r="Z878" s="35"/>
    </row>
    <row r="879">
      <c r="A879" s="36"/>
      <c r="L879" s="37"/>
      <c r="V879" s="32"/>
      <c r="X879" s="35"/>
      <c r="Y879" s="35"/>
      <c r="Z879" s="35"/>
    </row>
    <row r="880">
      <c r="A880" s="36"/>
      <c r="L880" s="37"/>
      <c r="V880" s="32"/>
      <c r="X880" s="35"/>
      <c r="Y880" s="35"/>
      <c r="Z880" s="35"/>
    </row>
    <row r="881">
      <c r="A881" s="36"/>
      <c r="L881" s="37"/>
      <c r="V881" s="32"/>
      <c r="X881" s="35"/>
      <c r="Y881" s="35"/>
      <c r="Z881" s="35"/>
    </row>
    <row r="882">
      <c r="A882" s="36"/>
      <c r="L882" s="37"/>
      <c r="V882" s="32"/>
      <c r="X882" s="35"/>
      <c r="Y882" s="35"/>
      <c r="Z882" s="35"/>
    </row>
    <row r="883">
      <c r="A883" s="36"/>
      <c r="L883" s="37"/>
      <c r="V883" s="32"/>
      <c r="X883" s="35"/>
      <c r="Y883" s="35"/>
      <c r="Z883" s="35"/>
    </row>
    <row r="884">
      <c r="A884" s="36"/>
      <c r="L884" s="37"/>
      <c r="V884" s="32"/>
      <c r="X884" s="35"/>
      <c r="Y884" s="35"/>
      <c r="Z884" s="35"/>
    </row>
    <row r="885">
      <c r="A885" s="36"/>
      <c r="L885" s="37"/>
      <c r="V885" s="32"/>
      <c r="X885" s="35"/>
      <c r="Y885" s="35"/>
      <c r="Z885" s="35"/>
    </row>
    <row r="886">
      <c r="A886" s="36"/>
      <c r="L886" s="37"/>
      <c r="V886" s="32"/>
      <c r="X886" s="35"/>
      <c r="Y886" s="35"/>
      <c r="Z886" s="35"/>
    </row>
    <row r="887">
      <c r="A887" s="36"/>
      <c r="L887" s="37"/>
      <c r="V887" s="32"/>
      <c r="X887" s="35"/>
      <c r="Y887" s="35"/>
      <c r="Z887" s="35"/>
    </row>
    <row r="888">
      <c r="A888" s="36"/>
      <c r="L888" s="37"/>
      <c r="V888" s="32"/>
      <c r="X888" s="35"/>
      <c r="Y888" s="35"/>
      <c r="Z888" s="35"/>
    </row>
    <row r="889">
      <c r="A889" s="36"/>
      <c r="L889" s="37"/>
      <c r="V889" s="32"/>
      <c r="X889" s="35"/>
      <c r="Y889" s="35"/>
      <c r="Z889" s="35"/>
    </row>
    <row r="890">
      <c r="A890" s="36"/>
      <c r="L890" s="37"/>
      <c r="V890" s="32"/>
      <c r="X890" s="35"/>
      <c r="Y890" s="35"/>
      <c r="Z890" s="35"/>
    </row>
    <row r="891">
      <c r="A891" s="36"/>
      <c r="L891" s="37"/>
      <c r="V891" s="32"/>
      <c r="X891" s="35"/>
      <c r="Y891" s="35"/>
      <c r="Z891" s="35"/>
    </row>
    <row r="892">
      <c r="A892" s="36"/>
      <c r="L892" s="37"/>
      <c r="V892" s="32"/>
      <c r="X892" s="35"/>
      <c r="Y892" s="35"/>
      <c r="Z892" s="35"/>
    </row>
    <row r="893">
      <c r="A893" s="36"/>
      <c r="L893" s="37"/>
      <c r="V893" s="32"/>
      <c r="X893" s="35"/>
      <c r="Y893" s="35"/>
      <c r="Z893" s="35"/>
    </row>
    <row r="894">
      <c r="A894" s="36"/>
      <c r="L894" s="37"/>
      <c r="V894" s="32"/>
      <c r="X894" s="35"/>
      <c r="Y894" s="35"/>
      <c r="Z894" s="35"/>
    </row>
    <row r="895">
      <c r="A895" s="36"/>
      <c r="L895" s="37"/>
      <c r="V895" s="32"/>
      <c r="X895" s="35"/>
      <c r="Y895" s="35"/>
      <c r="Z895" s="35"/>
    </row>
    <row r="896">
      <c r="A896" s="36"/>
      <c r="L896" s="37"/>
      <c r="V896" s="32"/>
      <c r="X896" s="35"/>
      <c r="Y896" s="35"/>
      <c r="Z896" s="35"/>
    </row>
    <row r="897">
      <c r="A897" s="36"/>
      <c r="L897" s="37"/>
      <c r="V897" s="32"/>
      <c r="X897" s="35"/>
      <c r="Y897" s="35"/>
      <c r="Z897" s="35"/>
    </row>
    <row r="898">
      <c r="A898" s="36"/>
      <c r="L898" s="37"/>
      <c r="V898" s="32"/>
      <c r="X898" s="35"/>
      <c r="Y898" s="35"/>
      <c r="Z898" s="35"/>
    </row>
    <row r="899">
      <c r="A899" s="36"/>
      <c r="L899" s="37"/>
      <c r="V899" s="32"/>
      <c r="X899" s="35"/>
      <c r="Y899" s="35"/>
      <c r="Z899" s="35"/>
    </row>
    <row r="900">
      <c r="A900" s="36"/>
      <c r="L900" s="37"/>
      <c r="V900" s="32"/>
      <c r="X900" s="35"/>
      <c r="Y900" s="35"/>
      <c r="Z900" s="35"/>
    </row>
    <row r="901">
      <c r="A901" s="36"/>
      <c r="L901" s="37"/>
      <c r="V901" s="32"/>
      <c r="X901" s="35"/>
      <c r="Y901" s="35"/>
      <c r="Z901" s="35"/>
    </row>
    <row r="902">
      <c r="A902" s="36"/>
      <c r="L902" s="37"/>
      <c r="V902" s="32"/>
      <c r="X902" s="35"/>
      <c r="Y902" s="35"/>
      <c r="Z902" s="35"/>
    </row>
    <row r="903">
      <c r="A903" s="36"/>
      <c r="L903" s="37"/>
      <c r="V903" s="32"/>
      <c r="X903" s="35"/>
      <c r="Y903" s="35"/>
      <c r="Z903" s="35"/>
    </row>
    <row r="904">
      <c r="A904" s="36"/>
      <c r="L904" s="37"/>
      <c r="V904" s="32"/>
      <c r="X904" s="35"/>
      <c r="Y904" s="35"/>
      <c r="Z904" s="35"/>
    </row>
    <row r="905">
      <c r="A905" s="36"/>
      <c r="L905" s="37"/>
      <c r="V905" s="32"/>
      <c r="X905" s="35"/>
      <c r="Y905" s="35"/>
      <c r="Z905" s="35"/>
    </row>
    <row r="906">
      <c r="A906" s="36"/>
      <c r="L906" s="37"/>
      <c r="V906" s="32"/>
      <c r="X906" s="35"/>
      <c r="Y906" s="35"/>
      <c r="Z906" s="35"/>
    </row>
    <row r="907">
      <c r="A907" s="36"/>
      <c r="L907" s="37"/>
      <c r="V907" s="32"/>
      <c r="X907" s="35"/>
      <c r="Y907" s="35"/>
      <c r="Z907" s="35"/>
    </row>
    <row r="908">
      <c r="A908" s="36"/>
      <c r="L908" s="37"/>
      <c r="V908" s="32"/>
      <c r="X908" s="35"/>
      <c r="Y908" s="35"/>
      <c r="Z908" s="35"/>
    </row>
    <row r="909">
      <c r="A909" s="36"/>
      <c r="L909" s="37"/>
      <c r="V909" s="32"/>
      <c r="X909" s="35"/>
      <c r="Y909" s="35"/>
      <c r="Z909" s="35"/>
    </row>
    <row r="910">
      <c r="A910" s="36"/>
      <c r="L910" s="37"/>
      <c r="V910" s="32"/>
      <c r="X910" s="35"/>
      <c r="Y910" s="35"/>
      <c r="Z910" s="35"/>
    </row>
    <row r="911">
      <c r="A911" s="36"/>
      <c r="L911" s="37"/>
      <c r="V911" s="32"/>
      <c r="X911" s="35"/>
      <c r="Y911" s="35"/>
      <c r="Z911" s="35"/>
    </row>
    <row r="912">
      <c r="A912" s="36"/>
      <c r="L912" s="37"/>
      <c r="V912" s="32"/>
      <c r="X912" s="35"/>
      <c r="Y912" s="35"/>
      <c r="Z912" s="35"/>
    </row>
    <row r="913">
      <c r="A913" s="36"/>
      <c r="L913" s="37"/>
      <c r="V913" s="32"/>
      <c r="X913" s="35"/>
      <c r="Y913" s="35"/>
      <c r="Z913" s="35"/>
    </row>
    <row r="914">
      <c r="A914" s="36"/>
      <c r="L914" s="37"/>
      <c r="V914" s="32"/>
      <c r="X914" s="35"/>
      <c r="Y914" s="35"/>
      <c r="Z914" s="35"/>
    </row>
    <row r="915">
      <c r="A915" s="36"/>
      <c r="L915" s="37"/>
      <c r="V915" s="32"/>
      <c r="X915" s="35"/>
      <c r="Y915" s="35"/>
      <c r="Z915" s="35"/>
    </row>
    <row r="916">
      <c r="A916" s="36"/>
      <c r="L916" s="37"/>
      <c r="V916" s="32"/>
      <c r="X916" s="35"/>
      <c r="Y916" s="35"/>
      <c r="Z916" s="35"/>
    </row>
    <row r="917">
      <c r="A917" s="36"/>
      <c r="L917" s="37"/>
      <c r="V917" s="32"/>
      <c r="X917" s="35"/>
      <c r="Y917" s="35"/>
      <c r="Z917" s="35"/>
    </row>
    <row r="918">
      <c r="A918" s="36"/>
      <c r="L918" s="37"/>
      <c r="V918" s="32"/>
      <c r="X918" s="35"/>
      <c r="Y918" s="35"/>
      <c r="Z918" s="35"/>
    </row>
    <row r="919">
      <c r="A919" s="36"/>
      <c r="L919" s="37"/>
      <c r="V919" s="32"/>
      <c r="X919" s="35"/>
      <c r="Y919" s="35"/>
      <c r="Z919" s="35"/>
    </row>
    <row r="920">
      <c r="A920" s="36"/>
      <c r="L920" s="37"/>
      <c r="V920" s="32"/>
      <c r="X920" s="35"/>
      <c r="Y920" s="35"/>
      <c r="Z920" s="35"/>
    </row>
    <row r="921">
      <c r="A921" s="36"/>
      <c r="L921" s="37"/>
      <c r="V921" s="32"/>
      <c r="X921" s="35"/>
      <c r="Y921" s="35"/>
      <c r="Z921" s="35"/>
    </row>
    <row r="922">
      <c r="A922" s="36"/>
      <c r="L922" s="37"/>
      <c r="V922" s="32"/>
      <c r="X922" s="35"/>
      <c r="Y922" s="35"/>
      <c r="Z922" s="35"/>
    </row>
    <row r="923">
      <c r="A923" s="36"/>
      <c r="L923" s="37"/>
      <c r="V923" s="32"/>
      <c r="X923" s="35"/>
      <c r="Y923" s="35"/>
      <c r="Z923" s="35"/>
    </row>
    <row r="924">
      <c r="A924" s="36"/>
      <c r="L924" s="37"/>
      <c r="V924" s="32"/>
      <c r="X924" s="35"/>
      <c r="Y924" s="35"/>
      <c r="Z924" s="35"/>
    </row>
    <row r="925">
      <c r="A925" s="36"/>
      <c r="L925" s="37"/>
      <c r="V925" s="32"/>
      <c r="X925" s="35"/>
      <c r="Y925" s="35"/>
      <c r="Z925" s="35"/>
    </row>
    <row r="926">
      <c r="A926" s="36"/>
      <c r="L926" s="37"/>
      <c r="V926" s="32"/>
      <c r="X926" s="35"/>
      <c r="Y926" s="35"/>
      <c r="Z926" s="35"/>
    </row>
    <row r="927">
      <c r="A927" s="36"/>
      <c r="L927" s="37"/>
      <c r="V927" s="32"/>
      <c r="X927" s="35"/>
      <c r="Y927" s="35"/>
      <c r="Z927" s="35"/>
    </row>
    <row r="928">
      <c r="A928" s="36"/>
      <c r="L928" s="37"/>
      <c r="V928" s="32"/>
      <c r="X928" s="35"/>
      <c r="Y928" s="35"/>
      <c r="Z928" s="35"/>
    </row>
    <row r="929">
      <c r="A929" s="36"/>
      <c r="L929" s="37"/>
      <c r="V929" s="32"/>
      <c r="X929" s="35"/>
      <c r="Y929" s="35"/>
      <c r="Z929" s="35"/>
    </row>
    <row r="930">
      <c r="A930" s="36"/>
      <c r="L930" s="37"/>
      <c r="V930" s="32"/>
      <c r="X930" s="35"/>
      <c r="Y930" s="35"/>
      <c r="Z930" s="35"/>
    </row>
    <row r="931">
      <c r="A931" s="36"/>
      <c r="L931" s="37"/>
      <c r="V931" s="32"/>
      <c r="X931" s="35"/>
      <c r="Y931" s="35"/>
      <c r="Z931" s="35"/>
    </row>
    <row r="932">
      <c r="A932" s="36"/>
      <c r="L932" s="37"/>
      <c r="V932" s="32"/>
      <c r="X932" s="35"/>
      <c r="Y932" s="35"/>
      <c r="Z932" s="35"/>
    </row>
    <row r="933">
      <c r="A933" s="36"/>
      <c r="L933" s="37"/>
      <c r="V933" s="32"/>
      <c r="X933" s="35"/>
      <c r="Y933" s="35"/>
      <c r="Z933" s="35"/>
    </row>
    <row r="934">
      <c r="A934" s="36"/>
      <c r="L934" s="37"/>
      <c r="V934" s="32"/>
      <c r="X934" s="35"/>
      <c r="Y934" s="35"/>
      <c r="Z934" s="35"/>
    </row>
    <row r="935">
      <c r="A935" s="36"/>
      <c r="L935" s="37"/>
      <c r="V935" s="32"/>
      <c r="X935" s="35"/>
      <c r="Y935" s="35"/>
      <c r="Z935" s="35"/>
    </row>
    <row r="936">
      <c r="A936" s="36"/>
      <c r="L936" s="37"/>
      <c r="V936" s="32"/>
      <c r="X936" s="35"/>
      <c r="Y936" s="35"/>
      <c r="Z936" s="35"/>
    </row>
    <row r="937">
      <c r="A937" s="36"/>
      <c r="L937" s="37"/>
      <c r="V937" s="32"/>
      <c r="X937" s="35"/>
      <c r="Y937" s="35"/>
      <c r="Z937" s="35"/>
    </row>
    <row r="938">
      <c r="A938" s="36"/>
      <c r="L938" s="37"/>
      <c r="V938" s="32"/>
      <c r="X938" s="35"/>
      <c r="Y938" s="35"/>
      <c r="Z938" s="35"/>
    </row>
    <row r="939">
      <c r="A939" s="36"/>
      <c r="L939" s="37"/>
      <c r="V939" s="32"/>
      <c r="X939" s="35"/>
      <c r="Y939" s="35"/>
      <c r="Z939" s="35"/>
    </row>
    <row r="940">
      <c r="A940" s="36"/>
      <c r="L940" s="37"/>
      <c r="V940" s="32"/>
      <c r="X940" s="35"/>
      <c r="Y940" s="35"/>
      <c r="Z940" s="35"/>
    </row>
    <row r="941">
      <c r="A941" s="36"/>
      <c r="L941" s="37"/>
      <c r="V941" s="32"/>
      <c r="X941" s="35"/>
      <c r="Y941" s="35"/>
      <c r="Z941" s="35"/>
    </row>
    <row r="942">
      <c r="A942" s="36"/>
      <c r="L942" s="37"/>
      <c r="V942" s="32"/>
      <c r="X942" s="35"/>
      <c r="Y942" s="35"/>
      <c r="Z942" s="35"/>
    </row>
    <row r="943">
      <c r="A943" s="36"/>
      <c r="L943" s="37"/>
      <c r="V943" s="32"/>
      <c r="X943" s="35"/>
      <c r="Y943" s="35"/>
      <c r="Z943" s="35"/>
    </row>
    <row r="944">
      <c r="A944" s="36"/>
      <c r="L944" s="37"/>
      <c r="V944" s="32"/>
      <c r="X944" s="35"/>
      <c r="Y944" s="35"/>
      <c r="Z944" s="35"/>
    </row>
    <row r="945">
      <c r="A945" s="36"/>
      <c r="L945" s="37"/>
      <c r="V945" s="32"/>
      <c r="X945" s="35"/>
      <c r="Y945" s="35"/>
      <c r="Z945" s="35"/>
    </row>
    <row r="946">
      <c r="A946" s="36"/>
      <c r="L946" s="37"/>
      <c r="V946" s="32"/>
      <c r="X946" s="35"/>
      <c r="Y946" s="35"/>
      <c r="Z946" s="35"/>
    </row>
    <row r="947">
      <c r="A947" s="36"/>
      <c r="L947" s="37"/>
      <c r="V947" s="32"/>
      <c r="X947" s="35"/>
      <c r="Y947" s="35"/>
      <c r="Z947" s="35"/>
    </row>
    <row r="948">
      <c r="A948" s="36"/>
      <c r="L948" s="37"/>
      <c r="V948" s="32"/>
      <c r="X948" s="35"/>
      <c r="Y948" s="35"/>
      <c r="Z948" s="35"/>
    </row>
    <row r="949">
      <c r="A949" s="36"/>
      <c r="L949" s="37"/>
      <c r="V949" s="32"/>
      <c r="X949" s="35"/>
      <c r="Y949" s="35"/>
      <c r="Z949" s="35"/>
    </row>
    <row r="950">
      <c r="A950" s="36"/>
      <c r="L950" s="37"/>
      <c r="V950" s="32"/>
      <c r="X950" s="35"/>
      <c r="Y950" s="35"/>
      <c r="Z950" s="35"/>
    </row>
    <row r="951">
      <c r="A951" s="36"/>
      <c r="L951" s="37"/>
      <c r="V951" s="32"/>
      <c r="X951" s="35"/>
      <c r="Y951" s="35"/>
      <c r="Z951" s="35"/>
    </row>
    <row r="952">
      <c r="A952" s="36"/>
      <c r="L952" s="37"/>
      <c r="V952" s="32"/>
      <c r="X952" s="35"/>
      <c r="Y952" s="35"/>
      <c r="Z952" s="35"/>
    </row>
    <row r="953">
      <c r="A953" s="36"/>
      <c r="L953" s="37"/>
      <c r="V953" s="32"/>
      <c r="X953" s="35"/>
      <c r="Y953" s="35"/>
      <c r="Z953" s="35"/>
    </row>
    <row r="954">
      <c r="A954" s="36"/>
      <c r="L954" s="37"/>
      <c r="V954" s="32"/>
      <c r="X954" s="35"/>
      <c r="Y954" s="35"/>
      <c r="Z954" s="35"/>
    </row>
    <row r="955">
      <c r="A955" s="36"/>
      <c r="L955" s="37"/>
      <c r="V955" s="32"/>
      <c r="X955" s="35"/>
      <c r="Y955" s="35"/>
      <c r="Z955" s="35"/>
    </row>
    <row r="956">
      <c r="A956" s="36"/>
      <c r="L956" s="37"/>
      <c r="V956" s="32"/>
      <c r="X956" s="35"/>
      <c r="Y956" s="35"/>
      <c r="Z956" s="35"/>
    </row>
    <row r="957">
      <c r="A957" s="36"/>
      <c r="L957" s="37"/>
      <c r="V957" s="32"/>
      <c r="X957" s="35"/>
      <c r="Y957" s="35"/>
      <c r="Z957" s="35"/>
    </row>
    <row r="958">
      <c r="A958" s="36"/>
      <c r="L958" s="37"/>
      <c r="V958" s="32"/>
      <c r="X958" s="35"/>
      <c r="Y958" s="35"/>
      <c r="Z958" s="35"/>
    </row>
    <row r="959">
      <c r="A959" s="36"/>
      <c r="L959" s="37"/>
      <c r="V959" s="32"/>
      <c r="X959" s="35"/>
      <c r="Y959" s="35"/>
      <c r="Z959" s="35"/>
    </row>
    <row r="960">
      <c r="A960" s="36"/>
      <c r="L960" s="37"/>
      <c r="V960" s="32"/>
      <c r="X960" s="35"/>
      <c r="Y960" s="35"/>
      <c r="Z960" s="35"/>
    </row>
    <row r="961">
      <c r="A961" s="36"/>
      <c r="L961" s="37"/>
      <c r="V961" s="32"/>
      <c r="X961" s="35"/>
      <c r="Y961" s="35"/>
      <c r="Z961" s="35"/>
    </row>
    <row r="962">
      <c r="A962" s="36"/>
      <c r="L962" s="37"/>
      <c r="V962" s="32"/>
      <c r="X962" s="35"/>
      <c r="Y962" s="35"/>
      <c r="Z962" s="35"/>
    </row>
    <row r="963">
      <c r="A963" s="36"/>
      <c r="L963" s="37"/>
      <c r="V963" s="32"/>
      <c r="X963" s="35"/>
      <c r="Y963" s="35"/>
      <c r="Z963" s="35"/>
    </row>
    <row r="964">
      <c r="A964" s="36"/>
      <c r="L964" s="37"/>
      <c r="V964" s="32"/>
      <c r="X964" s="35"/>
      <c r="Y964" s="35"/>
      <c r="Z964" s="35"/>
    </row>
    <row r="965">
      <c r="A965" s="36"/>
      <c r="L965" s="37"/>
      <c r="V965" s="32"/>
      <c r="X965" s="35"/>
      <c r="Y965" s="35"/>
      <c r="Z965" s="35"/>
    </row>
    <row r="966">
      <c r="A966" s="36"/>
      <c r="L966" s="37"/>
      <c r="V966" s="32"/>
      <c r="X966" s="35"/>
      <c r="Y966" s="35"/>
      <c r="Z966" s="35"/>
    </row>
    <row r="967">
      <c r="A967" s="36"/>
      <c r="L967" s="37"/>
      <c r="V967" s="32"/>
      <c r="X967" s="35"/>
      <c r="Y967" s="35"/>
      <c r="Z967" s="35"/>
    </row>
    <row r="968">
      <c r="A968" s="36"/>
      <c r="L968" s="37"/>
      <c r="V968" s="32"/>
      <c r="X968" s="35"/>
      <c r="Y968" s="35"/>
      <c r="Z968" s="35"/>
    </row>
    <row r="969">
      <c r="A969" s="36"/>
      <c r="L969" s="37"/>
      <c r="V969" s="32"/>
      <c r="X969" s="35"/>
      <c r="Y969" s="35"/>
      <c r="Z969" s="35"/>
    </row>
    <row r="970">
      <c r="A970" s="36"/>
      <c r="L970" s="37"/>
      <c r="V970" s="32"/>
      <c r="X970" s="35"/>
      <c r="Y970" s="35"/>
      <c r="Z970" s="35"/>
    </row>
    <row r="971">
      <c r="A971" s="36"/>
      <c r="L971" s="37"/>
      <c r="V971" s="32"/>
      <c r="X971" s="35"/>
      <c r="Y971" s="35"/>
      <c r="Z971" s="35"/>
    </row>
    <row r="972">
      <c r="A972" s="36"/>
      <c r="L972" s="37"/>
      <c r="V972" s="32"/>
      <c r="X972" s="35"/>
      <c r="Y972" s="35"/>
      <c r="Z972" s="35"/>
    </row>
    <row r="973">
      <c r="A973" s="36"/>
      <c r="L973" s="37"/>
      <c r="V973" s="32"/>
      <c r="X973" s="35"/>
      <c r="Y973" s="35"/>
      <c r="Z973" s="35"/>
    </row>
    <row r="974">
      <c r="A974" s="36"/>
      <c r="L974" s="37"/>
      <c r="V974" s="32"/>
      <c r="X974" s="35"/>
      <c r="Y974" s="35"/>
      <c r="Z974" s="35"/>
    </row>
    <row r="975">
      <c r="A975" s="36"/>
      <c r="L975" s="37"/>
      <c r="V975" s="32"/>
      <c r="X975" s="35"/>
      <c r="Y975" s="35"/>
      <c r="Z975" s="35"/>
    </row>
    <row r="976">
      <c r="A976" s="36"/>
      <c r="L976" s="37"/>
      <c r="V976" s="32"/>
      <c r="X976" s="35"/>
      <c r="Y976" s="35"/>
      <c r="Z976" s="35"/>
    </row>
    <row r="977">
      <c r="A977" s="36"/>
      <c r="L977" s="37"/>
      <c r="V977" s="32"/>
      <c r="X977" s="35"/>
      <c r="Y977" s="35"/>
      <c r="Z977" s="35"/>
    </row>
    <row r="978">
      <c r="A978" s="36"/>
      <c r="L978" s="37"/>
      <c r="V978" s="32"/>
      <c r="X978" s="35"/>
      <c r="Y978" s="35"/>
      <c r="Z978" s="35"/>
    </row>
    <row r="979">
      <c r="A979" s="36"/>
      <c r="L979" s="37"/>
      <c r="V979" s="32"/>
      <c r="X979" s="35"/>
      <c r="Y979" s="35"/>
      <c r="Z979" s="35"/>
    </row>
    <row r="980">
      <c r="A980" s="36"/>
      <c r="L980" s="37"/>
      <c r="V980" s="32"/>
      <c r="X980" s="35"/>
      <c r="Y980" s="35"/>
      <c r="Z980" s="35"/>
    </row>
    <row r="981">
      <c r="A981" s="36"/>
      <c r="L981" s="37"/>
      <c r="V981" s="32"/>
      <c r="X981" s="35"/>
      <c r="Y981" s="35"/>
      <c r="Z981" s="35"/>
    </row>
    <row r="982">
      <c r="A982" s="36"/>
      <c r="L982" s="37"/>
      <c r="V982" s="32"/>
      <c r="X982" s="35"/>
      <c r="Y982" s="35"/>
      <c r="Z982" s="35"/>
    </row>
    <row r="983">
      <c r="A983" s="36"/>
      <c r="L983" s="37"/>
      <c r="V983" s="32"/>
      <c r="X983" s="35"/>
      <c r="Y983" s="35"/>
      <c r="Z983" s="35"/>
    </row>
    <row r="984">
      <c r="A984" s="36"/>
      <c r="L984" s="37"/>
      <c r="V984" s="32"/>
      <c r="X984" s="35"/>
      <c r="Y984" s="35"/>
      <c r="Z984" s="35"/>
    </row>
    <row r="985">
      <c r="A985" s="36"/>
      <c r="L985" s="37"/>
      <c r="V985" s="32"/>
      <c r="X985" s="35"/>
      <c r="Y985" s="35"/>
      <c r="Z985" s="35"/>
    </row>
    <row r="986">
      <c r="A986" s="36"/>
      <c r="L986" s="37"/>
      <c r="V986" s="32"/>
      <c r="X986" s="35"/>
      <c r="Y986" s="35"/>
      <c r="Z986" s="35"/>
    </row>
    <row r="987">
      <c r="A987" s="36"/>
      <c r="L987" s="37"/>
      <c r="V987" s="32"/>
      <c r="X987" s="35"/>
      <c r="Y987" s="35"/>
      <c r="Z987" s="35"/>
    </row>
    <row r="988">
      <c r="A988" s="36"/>
      <c r="L988" s="37"/>
      <c r="V988" s="32"/>
      <c r="X988" s="35"/>
      <c r="Y988" s="35"/>
      <c r="Z988" s="35"/>
    </row>
    <row r="989">
      <c r="A989" s="36"/>
      <c r="L989" s="37"/>
      <c r="V989" s="32"/>
      <c r="X989" s="35"/>
      <c r="Y989" s="35"/>
      <c r="Z989" s="35"/>
    </row>
    <row r="990">
      <c r="A990" s="36"/>
      <c r="L990" s="37"/>
      <c r="V990" s="32"/>
      <c r="X990" s="35"/>
      <c r="Y990" s="35"/>
      <c r="Z990" s="35"/>
    </row>
    <row r="991">
      <c r="A991" s="36"/>
      <c r="L991" s="37"/>
      <c r="V991" s="32"/>
      <c r="X991" s="35"/>
      <c r="Y991" s="35"/>
      <c r="Z991" s="35"/>
    </row>
    <row r="992">
      <c r="A992" s="36"/>
      <c r="L992" s="37"/>
      <c r="V992" s="32"/>
      <c r="X992" s="35"/>
      <c r="Y992" s="35"/>
      <c r="Z992" s="35"/>
    </row>
    <row r="993">
      <c r="A993" s="36"/>
      <c r="L993" s="37"/>
      <c r="V993" s="32"/>
      <c r="X993" s="35"/>
      <c r="Y993" s="35"/>
      <c r="Z993" s="35"/>
    </row>
    <row r="994">
      <c r="A994" s="36"/>
      <c r="L994" s="37"/>
      <c r="V994" s="32"/>
      <c r="X994" s="35"/>
      <c r="Y994" s="35"/>
      <c r="Z994" s="35"/>
    </row>
    <row r="995">
      <c r="A995" s="36"/>
      <c r="L995" s="37"/>
      <c r="V995" s="32"/>
      <c r="X995" s="35"/>
      <c r="Y995" s="35"/>
      <c r="Z995" s="35"/>
    </row>
    <row r="996">
      <c r="A996" s="36"/>
      <c r="L996" s="37"/>
      <c r="V996" s="32"/>
      <c r="X996" s="35"/>
      <c r="Y996" s="35"/>
      <c r="Z996" s="35"/>
    </row>
    <row r="997">
      <c r="A997" s="36"/>
      <c r="L997" s="37"/>
      <c r="V997" s="32"/>
      <c r="X997" s="35"/>
      <c r="Y997" s="35"/>
      <c r="Z997" s="35"/>
    </row>
    <row r="998">
      <c r="A998" s="36"/>
      <c r="L998" s="37"/>
      <c r="V998" s="32"/>
      <c r="X998" s="35"/>
      <c r="Y998" s="35"/>
      <c r="Z998" s="35"/>
    </row>
    <row r="999">
      <c r="A999" s="36"/>
      <c r="L999" s="37"/>
      <c r="V999" s="32"/>
      <c r="X999" s="35"/>
      <c r="Y999" s="35"/>
      <c r="Z999" s="35"/>
    </row>
    <row r="1000">
      <c r="A1000" s="36"/>
      <c r="L1000" s="37"/>
      <c r="V1000" s="32"/>
      <c r="X1000" s="35"/>
      <c r="Y1000" s="35"/>
      <c r="Z1000" s="35"/>
    </row>
    <row r="1001">
      <c r="A1001" s="36"/>
      <c r="L1001" s="37"/>
      <c r="V1001" s="32"/>
      <c r="X1001" s="35"/>
      <c r="Y1001" s="35"/>
      <c r="Z1001" s="35"/>
    </row>
    <row r="1002">
      <c r="A1002" s="36"/>
      <c r="L1002" s="37"/>
      <c r="V1002" s="32"/>
      <c r="X1002" s="35"/>
      <c r="Y1002" s="35"/>
      <c r="Z1002" s="35"/>
    </row>
    <row r="1003">
      <c r="A1003" s="36"/>
      <c r="L1003" s="37"/>
      <c r="V1003" s="32"/>
      <c r="X1003" s="35"/>
      <c r="Y1003" s="35"/>
      <c r="Z1003" s="35"/>
    </row>
    <row r="1004">
      <c r="A1004" s="36"/>
      <c r="L1004" s="37"/>
      <c r="V1004" s="32"/>
      <c r="X1004" s="35"/>
      <c r="Y1004" s="35"/>
      <c r="Z1004" s="35"/>
    </row>
    <row r="1005">
      <c r="A1005" s="36"/>
      <c r="L1005" s="37"/>
      <c r="V1005" s="32"/>
      <c r="X1005" s="35"/>
      <c r="Y1005" s="35"/>
      <c r="Z1005" s="35"/>
    </row>
    <row r="1006">
      <c r="A1006" s="36"/>
      <c r="L1006" s="37"/>
      <c r="V1006" s="32"/>
      <c r="X1006" s="35"/>
      <c r="Y1006" s="35"/>
      <c r="Z1006" s="35"/>
    </row>
    <row r="1007">
      <c r="A1007" s="36"/>
      <c r="L1007" s="37"/>
      <c r="V1007" s="32"/>
      <c r="X1007" s="35"/>
      <c r="Y1007" s="35"/>
      <c r="Z1007" s="35"/>
    </row>
    <row r="1008">
      <c r="A1008" s="36"/>
      <c r="L1008" s="37"/>
      <c r="V1008" s="32"/>
      <c r="X1008" s="35"/>
      <c r="Y1008" s="35"/>
      <c r="Z1008" s="35"/>
    </row>
    <row r="1009">
      <c r="A1009" s="36"/>
      <c r="L1009" s="37"/>
      <c r="V1009" s="32"/>
      <c r="X1009" s="35"/>
      <c r="Y1009" s="35"/>
      <c r="Z1009" s="35"/>
    </row>
    <row r="1010">
      <c r="A1010" s="36"/>
      <c r="L1010" s="37"/>
      <c r="V1010" s="32"/>
      <c r="X1010" s="35"/>
      <c r="Y1010" s="35"/>
      <c r="Z1010" s="35"/>
    </row>
    <row r="1011">
      <c r="A1011" s="36"/>
      <c r="L1011" s="37"/>
      <c r="V1011" s="32"/>
      <c r="X1011" s="35"/>
      <c r="Y1011" s="35"/>
      <c r="Z1011" s="35"/>
    </row>
    <row r="1012">
      <c r="A1012" s="36"/>
      <c r="L1012" s="37"/>
      <c r="V1012" s="32"/>
      <c r="X1012" s="35"/>
      <c r="Y1012" s="35"/>
      <c r="Z1012" s="35"/>
    </row>
  </sheetData>
  <conditionalFormatting sqref="V1:V1012">
    <cfRule type="cellIs" dxfId="0" priority="1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122.0</v>
      </c>
      <c r="E7" s="38">
        <v>0.25</v>
      </c>
      <c r="F7" s="10">
        <v>18.0</v>
      </c>
      <c r="G7" s="38">
        <v>0.1818</v>
      </c>
      <c r="H7" s="10">
        <v>5.0</v>
      </c>
      <c r="I7" s="38">
        <v>0.125</v>
      </c>
      <c r="J7" s="10" t="s">
        <v>40</v>
      </c>
      <c r="L7" s="10">
        <v>0.0</v>
      </c>
    </row>
    <row r="8">
      <c r="A8" s="10" t="s">
        <v>48</v>
      </c>
      <c r="D8" s="10">
        <v>366.0</v>
      </c>
      <c r="E8" s="38">
        <v>0.75</v>
      </c>
      <c r="F8" s="10">
        <v>83.0</v>
      </c>
      <c r="G8" s="38">
        <v>0.8384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7.0</v>
      </c>
      <c r="E10" s="38">
        <v>0.0143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33.0</v>
      </c>
      <c r="E11" s="38">
        <v>0.0676</v>
      </c>
      <c r="F11" s="10">
        <v>5.0</v>
      </c>
      <c r="G11" s="38">
        <v>0.0505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162.0</v>
      </c>
      <c r="E12" s="38">
        <v>0.332</v>
      </c>
      <c r="F12" s="10">
        <v>49.0</v>
      </c>
      <c r="G12" s="38">
        <v>0.4949</v>
      </c>
      <c r="H12" s="10">
        <v>13.0</v>
      </c>
      <c r="I12" s="38">
        <v>0.325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210.0</v>
      </c>
      <c r="E13" s="38">
        <v>0.4303</v>
      </c>
      <c r="F13" s="10">
        <v>46.0</v>
      </c>
      <c r="G13" s="38">
        <v>0.4646</v>
      </c>
      <c r="H13" s="10">
        <v>23.0</v>
      </c>
      <c r="I13" s="38">
        <v>0.575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103.0</v>
      </c>
      <c r="E14" s="38">
        <v>0.2111</v>
      </c>
      <c r="F14" s="10">
        <v>16.0</v>
      </c>
      <c r="G14" s="38">
        <v>0.1616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197.0</v>
      </c>
      <c r="E15" s="38">
        <v>0.4037</v>
      </c>
      <c r="F15" s="10">
        <v>63.0</v>
      </c>
      <c r="G15" s="38">
        <v>0.6364</v>
      </c>
      <c r="H15" s="10">
        <v>26.0</v>
      </c>
      <c r="I15" s="38">
        <v>0.65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4.0</v>
      </c>
      <c r="E18" s="38">
        <v>0.0082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227.0</v>
      </c>
      <c r="E19" s="38">
        <v>0.4652</v>
      </c>
      <c r="F19" s="10">
        <v>39.0</v>
      </c>
      <c r="G19" s="38">
        <v>0.3939</v>
      </c>
      <c r="H19" s="10">
        <v>5.0</v>
      </c>
      <c r="I19" s="38">
        <v>0.125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0.0</v>
      </c>
      <c r="E20" s="38">
        <v>0.0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40.0</v>
      </c>
      <c r="E21" s="38">
        <v>0.082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84.0</v>
      </c>
      <c r="E26" s="38">
        <v>0.1721</v>
      </c>
      <c r="F26" s="10">
        <v>21.0</v>
      </c>
      <c r="G26" s="38">
        <v>0.2121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137.0</v>
      </c>
      <c r="E27" s="38">
        <v>0.2807</v>
      </c>
      <c r="F27" s="10">
        <v>32.0</v>
      </c>
      <c r="G27" s="38">
        <v>0.3232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28.0</v>
      </c>
      <c r="E36" s="38">
        <v>0.0574</v>
      </c>
      <c r="F36" s="10">
        <v>9.0</v>
      </c>
      <c r="G36" s="38">
        <v>0.0909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299.0</v>
      </c>
      <c r="E37" s="38">
        <v>0.6127</v>
      </c>
      <c r="F37" s="10">
        <v>41.0</v>
      </c>
      <c r="G37" s="38">
        <v>0.4141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90.0</v>
      </c>
      <c r="E38" s="38">
        <v>0.1844</v>
      </c>
      <c r="F38" s="10">
        <v>19.0</v>
      </c>
      <c r="G38" s="38">
        <v>0.1919</v>
      </c>
      <c r="H38" s="10">
        <v>8.0</v>
      </c>
      <c r="I38" s="38">
        <v>0.2</v>
      </c>
      <c r="J38" s="10" t="s">
        <v>40</v>
      </c>
      <c r="K38" s="10" t="s">
        <v>43</v>
      </c>
    </row>
    <row r="39">
      <c r="A39" s="10" t="s">
        <v>78</v>
      </c>
      <c r="D39" s="10">
        <v>27.0</v>
      </c>
      <c r="E39" s="38">
        <v>0.0553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79</v>
      </c>
    </row>
    <row r="40">
      <c r="A40" s="10" t="s">
        <v>9</v>
      </c>
      <c r="D40" s="10">
        <v>184.0</v>
      </c>
      <c r="E40" s="38">
        <v>0.377</v>
      </c>
      <c r="F40" s="10">
        <v>59.0</v>
      </c>
      <c r="G40" s="38">
        <v>0.596</v>
      </c>
      <c r="H40" s="10">
        <v>21.0</v>
      </c>
      <c r="I40" s="38">
        <v>0.525</v>
      </c>
      <c r="J40" s="10" t="s">
        <v>40</v>
      </c>
    </row>
    <row r="41">
      <c r="A41" s="10" t="s">
        <v>6</v>
      </c>
      <c r="D41" s="10">
        <v>49.0</v>
      </c>
      <c r="E41" s="38">
        <v>0.1004</v>
      </c>
      <c r="F41" s="10">
        <v>9.0</v>
      </c>
      <c r="G41" s="38">
        <v>0.0909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15.0</v>
      </c>
      <c r="E42" s="38">
        <v>0.0307</v>
      </c>
      <c r="F42" s="10">
        <v>1.0</v>
      </c>
      <c r="G42" s="38">
        <v>0.0101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1.0</v>
      </c>
      <c r="G43" s="38">
        <v>0.0101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1.0</v>
      </c>
      <c r="E44" s="38">
        <v>0.002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3.0</v>
      </c>
      <c r="E45" s="38">
        <v>0.0061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148.0</v>
      </c>
      <c r="E7" s="38">
        <v>0.3033</v>
      </c>
      <c r="F7" s="10">
        <v>29.0</v>
      </c>
      <c r="G7" s="38">
        <v>0.2929</v>
      </c>
      <c r="H7" s="10">
        <v>9.0</v>
      </c>
      <c r="I7" s="38">
        <v>0.225</v>
      </c>
      <c r="J7" s="10" t="s">
        <v>40</v>
      </c>
      <c r="L7" s="10">
        <v>0.0</v>
      </c>
    </row>
    <row r="8">
      <c r="A8" s="10" t="s">
        <v>48</v>
      </c>
      <c r="D8" s="10">
        <v>340.0</v>
      </c>
      <c r="E8" s="38">
        <v>0.6967</v>
      </c>
      <c r="F8" s="10">
        <v>72.0</v>
      </c>
      <c r="G8" s="38">
        <v>0.7273</v>
      </c>
      <c r="H8" s="10">
        <v>24.0</v>
      </c>
      <c r="I8" s="38">
        <v>0.6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7.0</v>
      </c>
      <c r="E10" s="38">
        <v>0.0143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42.0</v>
      </c>
      <c r="E11" s="38">
        <v>0.0861</v>
      </c>
      <c r="F11" s="10">
        <v>4.0</v>
      </c>
      <c r="G11" s="38">
        <v>0.0404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254.0</v>
      </c>
      <c r="E12" s="38">
        <v>0.5205</v>
      </c>
      <c r="F12" s="10">
        <v>72.0</v>
      </c>
      <c r="G12" s="38">
        <v>0.7273</v>
      </c>
      <c r="H12" s="10">
        <v>26.0</v>
      </c>
      <c r="I12" s="38">
        <v>0.65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221.0</v>
      </c>
      <c r="E13" s="38">
        <v>0.4529</v>
      </c>
      <c r="F13" s="10">
        <v>45.0</v>
      </c>
      <c r="G13" s="38">
        <v>0.4545</v>
      </c>
      <c r="H13" s="10">
        <v>24.0</v>
      </c>
      <c r="I13" s="38">
        <v>0.6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88.0</v>
      </c>
      <c r="E14" s="38">
        <v>0.1803</v>
      </c>
      <c r="F14" s="10">
        <v>11.0</v>
      </c>
      <c r="G14" s="38">
        <v>0.1111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218.0</v>
      </c>
      <c r="E15" s="38">
        <v>0.4467</v>
      </c>
      <c r="F15" s="10">
        <v>68.0</v>
      </c>
      <c r="G15" s="38">
        <v>0.6869</v>
      </c>
      <c r="H15" s="10">
        <v>26.0</v>
      </c>
      <c r="I15" s="38">
        <v>0.65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51.0</v>
      </c>
      <c r="E18" s="38">
        <v>0.1045</v>
      </c>
      <c r="F18" s="10">
        <v>8.0</v>
      </c>
      <c r="G18" s="38">
        <v>0.0808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22.0</v>
      </c>
      <c r="E19" s="38">
        <v>0.0451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12.0</v>
      </c>
      <c r="E20" s="38">
        <v>0.0246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8.0</v>
      </c>
      <c r="G21" s="38">
        <v>0.0808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136.0</v>
      </c>
      <c r="E26" s="38">
        <v>0.2787</v>
      </c>
      <c r="F26" s="10">
        <v>38.0</v>
      </c>
      <c r="G26" s="38">
        <v>0.3838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88.0</v>
      </c>
      <c r="E27" s="38">
        <v>0.1803</v>
      </c>
      <c r="F27" s="10">
        <v>20.0</v>
      </c>
      <c r="G27" s="38">
        <v>0.202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95.0</v>
      </c>
      <c r="E36" s="38">
        <v>0.1947</v>
      </c>
      <c r="F36" s="10">
        <v>27.0</v>
      </c>
      <c r="G36" s="38">
        <v>0.2727</v>
      </c>
      <c r="H36" s="10">
        <v>4.0</v>
      </c>
      <c r="I36" s="38">
        <v>0.1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237.0</v>
      </c>
      <c r="E37" s="38">
        <v>0.4857</v>
      </c>
      <c r="F37" s="10">
        <v>31.0</v>
      </c>
      <c r="G37" s="38">
        <v>0.3131</v>
      </c>
      <c r="H37" s="10">
        <v>9.0</v>
      </c>
      <c r="I37" s="38">
        <v>0.225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75.0</v>
      </c>
      <c r="E38" s="38">
        <v>0.1537</v>
      </c>
      <c r="F38" s="10">
        <v>15.0</v>
      </c>
      <c r="G38" s="38">
        <v>0.1515</v>
      </c>
      <c r="H38" s="10">
        <v>7.0</v>
      </c>
      <c r="I38" s="38">
        <v>0.175</v>
      </c>
      <c r="J38" s="10" t="s">
        <v>40</v>
      </c>
      <c r="K38" s="10" t="s">
        <v>43</v>
      </c>
    </row>
    <row r="39">
      <c r="A39" s="10" t="s">
        <v>78</v>
      </c>
      <c r="D39" s="10">
        <v>17.0</v>
      </c>
      <c r="E39" s="38">
        <v>0.0348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247.0</v>
      </c>
      <c r="E40" s="38">
        <v>0.5061</v>
      </c>
      <c r="F40" s="10">
        <v>70.0</v>
      </c>
      <c r="G40" s="38">
        <v>0.7071</v>
      </c>
      <c r="H40" s="10">
        <v>32.0</v>
      </c>
      <c r="I40" s="38">
        <v>0.8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22.0</v>
      </c>
      <c r="E42" s="38">
        <v>0.0451</v>
      </c>
      <c r="F42" s="10">
        <v>5.0</v>
      </c>
      <c r="G42" s="38">
        <v>0.0505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42.0</v>
      </c>
      <c r="E43" s="38">
        <v>0.0861</v>
      </c>
      <c r="F43" s="10">
        <v>6.0</v>
      </c>
      <c r="G43" s="38">
        <v>0.0606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1.0</v>
      </c>
      <c r="E44" s="38">
        <v>0.002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0.4</v>
      </c>
    </row>
    <row r="50">
      <c r="A50" s="10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183.0</v>
      </c>
      <c r="E7" s="38">
        <v>0.375</v>
      </c>
      <c r="F7" s="10">
        <v>35.0</v>
      </c>
      <c r="G7" s="38">
        <v>0.3535</v>
      </c>
      <c r="H7" s="10">
        <v>13.0</v>
      </c>
      <c r="I7" s="38">
        <v>0.325</v>
      </c>
      <c r="J7" s="10" t="s">
        <v>40</v>
      </c>
      <c r="L7" s="10">
        <v>0.0</v>
      </c>
    </row>
    <row r="8">
      <c r="A8" s="10" t="s">
        <v>48</v>
      </c>
      <c r="D8" s="10">
        <v>305.0</v>
      </c>
      <c r="E8" s="38">
        <v>0.625</v>
      </c>
      <c r="F8" s="10">
        <v>66.0</v>
      </c>
      <c r="G8" s="38">
        <v>0.6667</v>
      </c>
      <c r="H8" s="10">
        <v>20.0</v>
      </c>
      <c r="I8" s="38">
        <v>0.5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7.0</v>
      </c>
      <c r="E10" s="38">
        <v>0.0143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35.0</v>
      </c>
      <c r="E11" s="38">
        <v>0.0717</v>
      </c>
      <c r="F11" s="10">
        <v>3.0</v>
      </c>
      <c r="G11" s="38">
        <v>0.0303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258.0</v>
      </c>
      <c r="E12" s="38">
        <v>0.5287</v>
      </c>
      <c r="F12" s="10">
        <v>75.0</v>
      </c>
      <c r="G12" s="38">
        <v>0.7576</v>
      </c>
      <c r="H12" s="10">
        <v>28.0</v>
      </c>
      <c r="I12" s="38">
        <v>0.7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254.0</v>
      </c>
      <c r="E13" s="38">
        <v>0.5205</v>
      </c>
      <c r="F13" s="10">
        <v>50.0</v>
      </c>
      <c r="G13" s="38">
        <v>0.5051</v>
      </c>
      <c r="H13" s="10">
        <v>24.0</v>
      </c>
      <c r="I13" s="38">
        <v>0.6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67.0</v>
      </c>
      <c r="E14" s="38">
        <v>0.1373</v>
      </c>
      <c r="F14" s="10">
        <v>13.0</v>
      </c>
      <c r="G14" s="38">
        <v>0.1313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220.0</v>
      </c>
      <c r="E15" s="38">
        <v>0.4508</v>
      </c>
      <c r="F15" s="10">
        <v>67.0</v>
      </c>
      <c r="G15" s="38">
        <v>0.6768</v>
      </c>
      <c r="H15" s="10">
        <v>26.0</v>
      </c>
      <c r="I15" s="38">
        <v>0.65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41.0</v>
      </c>
      <c r="E18" s="38">
        <v>0.084</v>
      </c>
      <c r="F18" s="10">
        <v>9.0</v>
      </c>
      <c r="G18" s="38">
        <v>0.0909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55.0</v>
      </c>
      <c r="E19" s="38">
        <v>0.1127</v>
      </c>
      <c r="F19" s="10">
        <v>7.0</v>
      </c>
      <c r="G19" s="38">
        <v>0.0707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9.0</v>
      </c>
      <c r="E21" s="38">
        <v>0.0184</v>
      </c>
      <c r="F21" s="10">
        <v>9.0</v>
      </c>
      <c r="G21" s="38">
        <v>0.0909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164.0</v>
      </c>
      <c r="E26" s="38">
        <v>0.3361</v>
      </c>
      <c r="F26" s="10">
        <v>45.0</v>
      </c>
      <c r="G26" s="38">
        <v>0.4545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83.0</v>
      </c>
      <c r="E27" s="38">
        <v>0.1701</v>
      </c>
      <c r="F27" s="10">
        <v>17.0</v>
      </c>
      <c r="G27" s="38">
        <v>0.1717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88.0</v>
      </c>
      <c r="E36" s="38">
        <v>0.1803</v>
      </c>
      <c r="F36" s="10">
        <v>23.0</v>
      </c>
      <c r="G36" s="38">
        <v>0.2323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246.0</v>
      </c>
      <c r="E37" s="38">
        <v>0.5041</v>
      </c>
      <c r="F37" s="10">
        <v>34.0</v>
      </c>
      <c r="G37" s="38">
        <v>0.3434</v>
      </c>
      <c r="H37" s="10">
        <v>9.0</v>
      </c>
      <c r="I37" s="38">
        <v>0.225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64.0</v>
      </c>
      <c r="E38" s="38">
        <v>0.1311</v>
      </c>
      <c r="F38" s="10">
        <v>19.0</v>
      </c>
      <c r="G38" s="38">
        <v>0.1919</v>
      </c>
      <c r="H38" s="10">
        <v>7.0</v>
      </c>
      <c r="I38" s="38">
        <v>0.175</v>
      </c>
      <c r="J38" s="10" t="s">
        <v>40</v>
      </c>
      <c r="K38" s="10" t="s">
        <v>43</v>
      </c>
    </row>
    <row r="39">
      <c r="A39" s="10" t="s">
        <v>78</v>
      </c>
      <c r="D39" s="10">
        <v>22.0</v>
      </c>
      <c r="E39" s="38">
        <v>0.0451</v>
      </c>
      <c r="F39" s="10">
        <v>5.0</v>
      </c>
      <c r="G39" s="38">
        <v>0.0505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234.0</v>
      </c>
      <c r="E40" s="38">
        <v>0.4795</v>
      </c>
      <c r="F40" s="10">
        <v>66.0</v>
      </c>
      <c r="G40" s="38">
        <v>0.6667</v>
      </c>
      <c r="H40" s="10">
        <v>31.0</v>
      </c>
      <c r="I40" s="38">
        <v>0.775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20.0</v>
      </c>
      <c r="E42" s="38">
        <v>0.041</v>
      </c>
      <c r="F42" s="10">
        <v>4.0</v>
      </c>
      <c r="G42" s="38">
        <v>0.0404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45.0</v>
      </c>
      <c r="E43" s="38">
        <v>0.0922</v>
      </c>
      <c r="F43" s="10">
        <v>10.0</v>
      </c>
      <c r="G43" s="38">
        <v>0.101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2.0</v>
      </c>
      <c r="E44" s="38">
        <v>0.0041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0.55</v>
      </c>
    </row>
    <row r="50">
      <c r="A50" s="10" t="s">
        <v>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261.0</v>
      </c>
      <c r="E7" s="38">
        <v>0.5348</v>
      </c>
      <c r="F7" s="10">
        <v>53.0</v>
      </c>
      <c r="G7" s="38">
        <v>0.5354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227.0</v>
      </c>
      <c r="E8" s="38">
        <v>0.4652</v>
      </c>
      <c r="F8" s="10">
        <v>48.0</v>
      </c>
      <c r="G8" s="38">
        <v>0.4848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7.0</v>
      </c>
      <c r="E10" s="38">
        <v>0.0143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45.0</v>
      </c>
      <c r="E11" s="38">
        <v>0.0922</v>
      </c>
      <c r="F11" s="10">
        <v>5.0</v>
      </c>
      <c r="G11" s="38">
        <v>0.0505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265.0</v>
      </c>
      <c r="E12" s="38">
        <v>0.543</v>
      </c>
      <c r="F12" s="10">
        <v>73.0</v>
      </c>
      <c r="G12" s="38">
        <v>0.7374</v>
      </c>
      <c r="H12" s="10">
        <v>28.0</v>
      </c>
      <c r="I12" s="38">
        <v>0.7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249.0</v>
      </c>
      <c r="E13" s="38">
        <v>0.5102</v>
      </c>
      <c r="F13" s="10">
        <v>47.0</v>
      </c>
      <c r="G13" s="38">
        <v>0.4747</v>
      </c>
      <c r="H13" s="10">
        <v>23.0</v>
      </c>
      <c r="I13" s="38">
        <v>0.575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76.0</v>
      </c>
      <c r="E14" s="38">
        <v>0.1557</v>
      </c>
      <c r="F14" s="10">
        <v>16.0</v>
      </c>
      <c r="G14" s="38">
        <v>0.1616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225.0</v>
      </c>
      <c r="E15" s="38">
        <v>0.4611</v>
      </c>
      <c r="F15" s="10">
        <v>68.0</v>
      </c>
      <c r="G15" s="38">
        <v>0.6869</v>
      </c>
      <c r="H15" s="10">
        <v>26.0</v>
      </c>
      <c r="I15" s="38">
        <v>0.65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52.0</v>
      </c>
      <c r="E18" s="38">
        <v>0.1066</v>
      </c>
      <c r="F18" s="10">
        <v>7.0</v>
      </c>
      <c r="G18" s="38">
        <v>0.0707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35.0</v>
      </c>
      <c r="E19" s="38">
        <v>0.0717</v>
      </c>
      <c r="F19" s="10">
        <v>7.0</v>
      </c>
      <c r="G19" s="38">
        <v>0.0707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8.0</v>
      </c>
      <c r="E20" s="38">
        <v>0.0164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7.0</v>
      </c>
      <c r="G21" s="38">
        <v>0.0707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153.0</v>
      </c>
      <c r="E26" s="38">
        <v>0.3135</v>
      </c>
      <c r="F26" s="10">
        <v>40.0</v>
      </c>
      <c r="G26" s="38">
        <v>0.404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50.0</v>
      </c>
      <c r="E27" s="38">
        <v>0.1025</v>
      </c>
      <c r="F27" s="10">
        <v>10.0</v>
      </c>
      <c r="G27" s="38">
        <v>0.101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99.0</v>
      </c>
      <c r="E36" s="38">
        <v>0.2029</v>
      </c>
      <c r="F36" s="10">
        <v>26.0</v>
      </c>
      <c r="G36" s="38">
        <v>0.2626</v>
      </c>
      <c r="H36" s="10">
        <v>3.0</v>
      </c>
      <c r="I36" s="38">
        <v>0.075</v>
      </c>
      <c r="J36" s="10" t="s">
        <v>40</v>
      </c>
      <c r="K36" s="10" t="s">
        <v>82</v>
      </c>
      <c r="L36" s="10">
        <v>1.0</v>
      </c>
    </row>
    <row r="37">
      <c r="A37" s="10" t="s">
        <v>8</v>
      </c>
      <c r="D37" s="10">
        <v>235.0</v>
      </c>
      <c r="E37" s="38">
        <v>0.4816</v>
      </c>
      <c r="F37" s="10">
        <v>33.0</v>
      </c>
      <c r="G37" s="38">
        <v>0.3333</v>
      </c>
      <c r="H37" s="10">
        <v>12.0</v>
      </c>
      <c r="I37" s="38">
        <v>0.3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80.0</v>
      </c>
      <c r="E38" s="38">
        <v>0.1639</v>
      </c>
      <c r="F38" s="10">
        <v>23.0</v>
      </c>
      <c r="G38" s="38">
        <v>0.2323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24.0</v>
      </c>
      <c r="E39" s="38">
        <v>0.0492</v>
      </c>
      <c r="F39" s="10">
        <v>5.0</v>
      </c>
      <c r="G39" s="38">
        <v>0.0505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246.0</v>
      </c>
      <c r="E40" s="38">
        <v>0.5041</v>
      </c>
      <c r="F40" s="10">
        <v>67.0</v>
      </c>
      <c r="G40" s="38">
        <v>0.6768</v>
      </c>
      <c r="H40" s="10">
        <v>29.0</v>
      </c>
      <c r="I40" s="38">
        <v>0.725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19.0</v>
      </c>
      <c r="E42" s="38">
        <v>0.0389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58.0</v>
      </c>
      <c r="E43" s="38">
        <v>0.1189</v>
      </c>
      <c r="F43" s="10">
        <v>16.0</v>
      </c>
      <c r="G43" s="38">
        <v>0.1616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5.0</v>
      </c>
      <c r="E44" s="38">
        <v>0.0102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0.4</v>
      </c>
    </row>
    <row r="50">
      <c r="A50" s="10" t="s">
        <v>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290.0</v>
      </c>
      <c r="E7" s="38">
        <v>0.5943</v>
      </c>
      <c r="F7" s="10">
        <v>62.0</v>
      </c>
      <c r="G7" s="38">
        <v>0.6263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198.0</v>
      </c>
      <c r="E8" s="38">
        <v>0.4057</v>
      </c>
      <c r="F8" s="10">
        <v>39.0</v>
      </c>
      <c r="G8" s="38">
        <v>0.3939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7.0</v>
      </c>
      <c r="E10" s="38">
        <v>0.0143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70.0</v>
      </c>
      <c r="E11" s="38">
        <v>0.1434</v>
      </c>
      <c r="F11" s="10">
        <v>8.0</v>
      </c>
      <c r="G11" s="38">
        <v>0.0808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273.0</v>
      </c>
      <c r="E12" s="38">
        <v>0.5594</v>
      </c>
      <c r="F12" s="10">
        <v>72.0</v>
      </c>
      <c r="G12" s="38">
        <v>0.7273</v>
      </c>
      <c r="H12" s="10">
        <v>30.0</v>
      </c>
      <c r="I12" s="38">
        <v>0.75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246.0</v>
      </c>
      <c r="E13" s="38">
        <v>0.5041</v>
      </c>
      <c r="F13" s="10">
        <v>49.0</v>
      </c>
      <c r="G13" s="38">
        <v>0.4949</v>
      </c>
      <c r="H13" s="10">
        <v>23.0</v>
      </c>
      <c r="I13" s="38">
        <v>0.575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85.0</v>
      </c>
      <c r="E14" s="38">
        <v>0.1742</v>
      </c>
      <c r="F14" s="10">
        <v>25.0</v>
      </c>
      <c r="G14" s="38">
        <v>0.2525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206.0</v>
      </c>
      <c r="E15" s="38">
        <v>0.4221</v>
      </c>
      <c r="F15" s="10">
        <v>60.0</v>
      </c>
      <c r="G15" s="38">
        <v>0.6061</v>
      </c>
      <c r="H15" s="10">
        <v>26.0</v>
      </c>
      <c r="I15" s="38">
        <v>0.65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101.0</v>
      </c>
      <c r="E18" s="38">
        <v>0.207</v>
      </c>
      <c r="F18" s="10">
        <v>22.0</v>
      </c>
      <c r="G18" s="38">
        <v>0.2222</v>
      </c>
      <c r="H18" s="10">
        <v>3.0</v>
      </c>
      <c r="I18" s="38">
        <v>0.075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11.0</v>
      </c>
      <c r="E19" s="38">
        <v>0.0225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22.0</v>
      </c>
      <c r="E20" s="38">
        <v>0.0451</v>
      </c>
      <c r="F20" s="10">
        <v>6.0</v>
      </c>
      <c r="G20" s="38">
        <v>0.0606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22.0</v>
      </c>
      <c r="G21" s="38">
        <v>0.2222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151.0</v>
      </c>
      <c r="E26" s="38">
        <v>0.3094</v>
      </c>
      <c r="F26" s="10">
        <v>41.0</v>
      </c>
      <c r="G26" s="38">
        <v>0.4141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41.0</v>
      </c>
      <c r="E27" s="38">
        <v>0.084</v>
      </c>
      <c r="F27" s="10">
        <v>7.0</v>
      </c>
      <c r="G27" s="38">
        <v>0.0707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78.0</v>
      </c>
      <c r="E36" s="38">
        <v>0.1598</v>
      </c>
      <c r="F36" s="10">
        <v>19.0</v>
      </c>
      <c r="G36" s="38">
        <v>0.1919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242.0</v>
      </c>
      <c r="E37" s="38">
        <v>0.4959</v>
      </c>
      <c r="F37" s="10">
        <v>32.0</v>
      </c>
      <c r="G37" s="38">
        <v>0.3232</v>
      </c>
      <c r="H37" s="10">
        <v>12.0</v>
      </c>
      <c r="I37" s="38">
        <v>0.3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75.0</v>
      </c>
      <c r="E38" s="38">
        <v>0.1537</v>
      </c>
      <c r="F38" s="10">
        <v>21.0</v>
      </c>
      <c r="G38" s="38">
        <v>0.2121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20.0</v>
      </c>
      <c r="E39" s="38">
        <v>0.041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242.0</v>
      </c>
      <c r="E40" s="38">
        <v>0.4959</v>
      </c>
      <c r="F40" s="10">
        <v>68.0</v>
      </c>
      <c r="G40" s="38">
        <v>0.6869</v>
      </c>
      <c r="H40" s="10">
        <v>29.0</v>
      </c>
      <c r="I40" s="38">
        <v>0.725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22.0</v>
      </c>
      <c r="E42" s="38">
        <v>0.0451</v>
      </c>
      <c r="F42" s="10">
        <v>7.0</v>
      </c>
      <c r="G42" s="38">
        <v>0.0707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38.0</v>
      </c>
      <c r="E43" s="38">
        <v>0.0779</v>
      </c>
      <c r="F43" s="10">
        <v>11.0</v>
      </c>
      <c r="G43" s="38">
        <v>0.1111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2.0</v>
      </c>
      <c r="E44" s="38">
        <v>0.0041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0.4</v>
      </c>
    </row>
    <row r="50">
      <c r="A50" s="10" t="s">
        <v>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297.0</v>
      </c>
      <c r="E7" s="38">
        <v>0.6086</v>
      </c>
      <c r="F7" s="10">
        <v>62.0</v>
      </c>
      <c r="G7" s="38">
        <v>0.6263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191.0</v>
      </c>
      <c r="E8" s="38">
        <v>0.3914</v>
      </c>
      <c r="F8" s="10">
        <v>39.0</v>
      </c>
      <c r="G8" s="38">
        <v>0.3939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4.0</v>
      </c>
      <c r="E10" s="38">
        <v>0.0082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55.0</v>
      </c>
      <c r="E11" s="38">
        <v>0.1127</v>
      </c>
      <c r="F11" s="10">
        <v>13.0</v>
      </c>
      <c r="G11" s="38">
        <v>0.1313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224.0</v>
      </c>
      <c r="E12" s="38">
        <v>0.459</v>
      </c>
      <c r="F12" s="10">
        <v>60.0</v>
      </c>
      <c r="G12" s="38">
        <v>0.6061</v>
      </c>
      <c r="H12" s="10">
        <v>24.0</v>
      </c>
      <c r="I12" s="38">
        <v>0.6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175.0</v>
      </c>
      <c r="E13" s="38">
        <v>0.3586</v>
      </c>
      <c r="F13" s="10">
        <v>45.0</v>
      </c>
      <c r="G13" s="38">
        <v>0.4545</v>
      </c>
      <c r="H13" s="10">
        <v>21.0</v>
      </c>
      <c r="I13" s="38">
        <v>0.525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111.0</v>
      </c>
      <c r="E14" s="38">
        <v>0.2275</v>
      </c>
      <c r="F14" s="10">
        <v>29.0</v>
      </c>
      <c r="G14" s="38">
        <v>0.2929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195.0</v>
      </c>
      <c r="E15" s="38">
        <v>0.3996</v>
      </c>
      <c r="F15" s="10">
        <v>56.0</v>
      </c>
      <c r="G15" s="38">
        <v>0.5657</v>
      </c>
      <c r="H15" s="10">
        <v>24.0</v>
      </c>
      <c r="I15" s="38">
        <v>0.6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0.0</v>
      </c>
      <c r="E16" s="38">
        <v>0.0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0.0</v>
      </c>
      <c r="E17" s="38">
        <v>0.0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43.0</v>
      </c>
      <c r="E18" s="38">
        <v>0.0881</v>
      </c>
      <c r="F18" s="10">
        <v>11.0</v>
      </c>
      <c r="G18" s="38">
        <v>0.1111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14.0</v>
      </c>
      <c r="E19" s="38">
        <v>0.0287</v>
      </c>
      <c r="F19" s="10">
        <v>1.0</v>
      </c>
      <c r="G19" s="38">
        <v>0.0101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11.0</v>
      </c>
      <c r="G21" s="38">
        <v>0.1111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149.0</v>
      </c>
      <c r="E26" s="38">
        <v>0.3053</v>
      </c>
      <c r="F26" s="10">
        <v>46.0</v>
      </c>
      <c r="G26" s="38">
        <v>0.4646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86.0</v>
      </c>
      <c r="E27" s="38">
        <v>0.1762</v>
      </c>
      <c r="F27" s="10">
        <v>15.0</v>
      </c>
      <c r="G27" s="38">
        <v>0.1515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76.0</v>
      </c>
      <c r="E36" s="38">
        <v>0.1557</v>
      </c>
      <c r="F36" s="10">
        <v>15.0</v>
      </c>
      <c r="G36" s="38">
        <v>0.1515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253.0</v>
      </c>
      <c r="E37" s="38">
        <v>0.5184</v>
      </c>
      <c r="F37" s="10">
        <v>35.0</v>
      </c>
      <c r="G37" s="38">
        <v>0.3535</v>
      </c>
      <c r="H37" s="10">
        <v>13.0</v>
      </c>
      <c r="I37" s="38">
        <v>0.325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85.0</v>
      </c>
      <c r="E38" s="38">
        <v>0.1742</v>
      </c>
      <c r="F38" s="10">
        <v>26.0</v>
      </c>
      <c r="G38" s="38">
        <v>0.2626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19.0</v>
      </c>
      <c r="E39" s="38">
        <v>0.0389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232.0</v>
      </c>
      <c r="E40" s="38">
        <v>0.4754</v>
      </c>
      <c r="F40" s="10">
        <v>66.0</v>
      </c>
      <c r="G40" s="38">
        <v>0.6667</v>
      </c>
      <c r="H40" s="10">
        <v>28.0</v>
      </c>
      <c r="I40" s="38">
        <v>0.7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21.0</v>
      </c>
      <c r="E42" s="38">
        <v>0.043</v>
      </c>
      <c r="F42" s="10">
        <v>4.0</v>
      </c>
      <c r="G42" s="38">
        <v>0.0404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28.0</v>
      </c>
      <c r="E43" s="38">
        <v>0.0574</v>
      </c>
      <c r="F43" s="10">
        <v>5.0</v>
      </c>
      <c r="G43" s="38">
        <v>0.0505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1.0</v>
      </c>
      <c r="E44" s="38">
        <v>0.002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0.55</v>
      </c>
    </row>
    <row r="50">
      <c r="A50" s="10" t="s">
        <v>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270.0</v>
      </c>
      <c r="E7" s="38">
        <v>0.5533</v>
      </c>
      <c r="F7" s="10">
        <v>59.0</v>
      </c>
      <c r="G7" s="38">
        <v>0.596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218.0</v>
      </c>
      <c r="E8" s="38">
        <v>0.4467</v>
      </c>
      <c r="F8" s="10">
        <v>42.0</v>
      </c>
      <c r="G8" s="38">
        <v>0.4242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3.0</v>
      </c>
      <c r="E10" s="38">
        <v>0.0061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58.0</v>
      </c>
      <c r="E11" s="38">
        <v>0.1189</v>
      </c>
      <c r="F11" s="10">
        <v>17.0</v>
      </c>
      <c r="G11" s="38">
        <v>0.1717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216.0</v>
      </c>
      <c r="E12" s="38">
        <v>0.4426</v>
      </c>
      <c r="F12" s="10">
        <v>57.0</v>
      </c>
      <c r="G12" s="38">
        <v>0.5758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165.0</v>
      </c>
      <c r="E13" s="38">
        <v>0.3381</v>
      </c>
      <c r="F13" s="10">
        <v>41.0</v>
      </c>
      <c r="G13" s="38">
        <v>0.4141</v>
      </c>
      <c r="H13" s="10">
        <v>22.0</v>
      </c>
      <c r="I13" s="38">
        <v>0.55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122.0</v>
      </c>
      <c r="E14" s="38">
        <v>0.25</v>
      </c>
      <c r="F14" s="10">
        <v>33.0</v>
      </c>
      <c r="G14" s="38">
        <v>0.3333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189.0</v>
      </c>
      <c r="E15" s="38">
        <v>0.3873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114.0</v>
      </c>
      <c r="E18" s="38">
        <v>0.2336</v>
      </c>
      <c r="F18" s="10">
        <v>12.0</v>
      </c>
      <c r="G18" s="38">
        <v>0.1212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12.0</v>
      </c>
      <c r="E19" s="38">
        <v>0.0246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21.0</v>
      </c>
      <c r="E20" s="38">
        <v>0.043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12.0</v>
      </c>
      <c r="G21" s="38">
        <v>0.1212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168.0</v>
      </c>
      <c r="E26" s="38">
        <v>0.3443</v>
      </c>
      <c r="F26" s="10">
        <v>43.0</v>
      </c>
      <c r="G26" s="38">
        <v>0.4343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138.0</v>
      </c>
      <c r="E27" s="38">
        <v>0.2828</v>
      </c>
      <c r="F27" s="10">
        <v>28.0</v>
      </c>
      <c r="G27" s="38">
        <v>0.2828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75.0</v>
      </c>
      <c r="E36" s="38">
        <v>0.1537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256.0</v>
      </c>
      <c r="E37" s="38">
        <v>0.5246</v>
      </c>
      <c r="F37" s="10">
        <v>38.0</v>
      </c>
      <c r="G37" s="38">
        <v>0.3838</v>
      </c>
      <c r="H37" s="10">
        <v>14.0</v>
      </c>
      <c r="I37" s="38">
        <v>0.35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90.0</v>
      </c>
      <c r="E38" s="38">
        <v>0.1844</v>
      </c>
      <c r="F38" s="10">
        <v>24.0</v>
      </c>
      <c r="G38" s="38">
        <v>0.2424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20.0</v>
      </c>
      <c r="E39" s="38">
        <v>0.041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228.0</v>
      </c>
      <c r="E40" s="38">
        <v>0.4672</v>
      </c>
      <c r="F40" s="10">
        <v>63.0</v>
      </c>
      <c r="G40" s="38">
        <v>0.6364</v>
      </c>
      <c r="H40" s="10">
        <v>27.0</v>
      </c>
      <c r="I40" s="38">
        <v>0.675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21.0</v>
      </c>
      <c r="E42" s="38">
        <v>0.043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31.0</v>
      </c>
      <c r="E43" s="38">
        <v>0.0635</v>
      </c>
      <c r="F43" s="10">
        <v>7.0</v>
      </c>
      <c r="G43" s="38">
        <v>0.0707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2.0</v>
      </c>
      <c r="E44" s="38">
        <v>0.0041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0.55</v>
      </c>
    </row>
    <row r="50">
      <c r="A50" s="10" t="s">
        <v>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184.0</v>
      </c>
      <c r="E7" s="38">
        <v>0.377</v>
      </c>
      <c r="F7" s="10">
        <v>42.0</v>
      </c>
      <c r="G7" s="38">
        <v>0.4242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304.0</v>
      </c>
      <c r="E8" s="38">
        <v>0.623</v>
      </c>
      <c r="F8" s="10">
        <v>59.0</v>
      </c>
      <c r="G8" s="38">
        <v>0.596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4.0</v>
      </c>
      <c r="E10" s="38">
        <v>0.0082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38.0</v>
      </c>
      <c r="E11" s="38">
        <v>0.0779</v>
      </c>
      <c r="F11" s="10">
        <v>12.0</v>
      </c>
      <c r="G11" s="38">
        <v>0.1212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162.0</v>
      </c>
      <c r="E12" s="38">
        <v>0.332</v>
      </c>
      <c r="F12" s="10">
        <v>44.0</v>
      </c>
      <c r="G12" s="38">
        <v>0.4444</v>
      </c>
      <c r="H12" s="10">
        <v>9.0</v>
      </c>
      <c r="I12" s="38">
        <v>0.225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207.0</v>
      </c>
      <c r="E13" s="38">
        <v>0.4242</v>
      </c>
      <c r="F13" s="10">
        <v>39.0</v>
      </c>
      <c r="G13" s="38">
        <v>0.3939</v>
      </c>
      <c r="H13" s="10">
        <v>23.0</v>
      </c>
      <c r="I13" s="38">
        <v>0.575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93.0</v>
      </c>
      <c r="E14" s="38">
        <v>0.1906</v>
      </c>
      <c r="F14" s="10">
        <v>30.0</v>
      </c>
      <c r="G14" s="38">
        <v>0.303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189.0</v>
      </c>
      <c r="E15" s="38">
        <v>0.3873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45.0</v>
      </c>
      <c r="E18" s="38">
        <v>0.0922</v>
      </c>
      <c r="F18" s="10">
        <v>10.0</v>
      </c>
      <c r="G18" s="38">
        <v>0.101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55.0</v>
      </c>
      <c r="E19" s="38">
        <v>0.1127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15.0</v>
      </c>
      <c r="E20" s="38">
        <v>0.0307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7.0</v>
      </c>
      <c r="E21" s="38">
        <v>0.0143</v>
      </c>
      <c r="F21" s="10">
        <v>10.0</v>
      </c>
      <c r="G21" s="38">
        <v>0.101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140.0</v>
      </c>
      <c r="E26" s="38">
        <v>0.2869</v>
      </c>
      <c r="F26" s="10">
        <v>28.0</v>
      </c>
      <c r="G26" s="38">
        <v>0.2828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169.0</v>
      </c>
      <c r="E27" s="38">
        <v>0.3463</v>
      </c>
      <c r="F27" s="10">
        <v>42.0</v>
      </c>
      <c r="G27" s="38">
        <v>0.4242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73.0</v>
      </c>
      <c r="E36" s="38">
        <v>0.1496</v>
      </c>
      <c r="F36" s="10">
        <v>12.0</v>
      </c>
      <c r="G36" s="38">
        <v>0.1212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273.0</v>
      </c>
      <c r="E37" s="38">
        <v>0.5594</v>
      </c>
      <c r="F37" s="10">
        <v>44.0</v>
      </c>
      <c r="G37" s="38">
        <v>0.4444</v>
      </c>
      <c r="H37" s="10">
        <v>19.0</v>
      </c>
      <c r="I37" s="38">
        <v>0.475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97.0</v>
      </c>
      <c r="E38" s="38">
        <v>0.1988</v>
      </c>
      <c r="F38" s="10">
        <v>30.0</v>
      </c>
      <c r="G38" s="38">
        <v>0.303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21.0</v>
      </c>
      <c r="E39" s="38">
        <v>0.043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214.0</v>
      </c>
      <c r="E40" s="38">
        <v>0.4385</v>
      </c>
      <c r="F40" s="10">
        <v>57.0</v>
      </c>
      <c r="G40" s="38">
        <v>0.5758</v>
      </c>
      <c r="H40" s="10">
        <v>22.0</v>
      </c>
      <c r="I40" s="38">
        <v>0.55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18.0</v>
      </c>
      <c r="E42" s="38">
        <v>0.0369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35.0</v>
      </c>
      <c r="E43" s="38">
        <v>0.0717</v>
      </c>
      <c r="F43" s="10">
        <v>6.0</v>
      </c>
      <c r="G43" s="38">
        <v>0.0606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183.0</v>
      </c>
      <c r="E7" s="38">
        <v>0.375</v>
      </c>
      <c r="F7" s="10">
        <v>37.0</v>
      </c>
      <c r="G7" s="38">
        <v>0.3737</v>
      </c>
      <c r="H7" s="10">
        <v>2.0</v>
      </c>
      <c r="I7" s="38">
        <v>0.05</v>
      </c>
      <c r="J7" s="10" t="s">
        <v>40</v>
      </c>
      <c r="L7" s="10">
        <v>0.0</v>
      </c>
    </row>
    <row r="8">
      <c r="A8" s="10" t="s">
        <v>48</v>
      </c>
      <c r="D8" s="10">
        <v>305.0</v>
      </c>
      <c r="E8" s="38">
        <v>0.625</v>
      </c>
      <c r="F8" s="10">
        <v>64.0</v>
      </c>
      <c r="G8" s="38">
        <v>0.6465</v>
      </c>
      <c r="H8" s="10">
        <v>31.0</v>
      </c>
      <c r="I8" s="38">
        <v>0.775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3.0</v>
      </c>
      <c r="E10" s="38">
        <v>0.0061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39.0</v>
      </c>
      <c r="E11" s="38">
        <v>0.0799</v>
      </c>
      <c r="F11" s="10">
        <v>11.0</v>
      </c>
      <c r="G11" s="38">
        <v>0.1111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163.0</v>
      </c>
      <c r="E12" s="38">
        <v>0.334</v>
      </c>
      <c r="F12" s="10">
        <v>41.0</v>
      </c>
      <c r="G12" s="38">
        <v>0.4141</v>
      </c>
      <c r="H12" s="10">
        <v>8.0</v>
      </c>
      <c r="I12" s="38">
        <v>0.2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238.0</v>
      </c>
      <c r="E13" s="38">
        <v>0.4877</v>
      </c>
      <c r="F13" s="10">
        <v>48.0</v>
      </c>
      <c r="G13" s="38">
        <v>0.4848</v>
      </c>
      <c r="H13" s="10">
        <v>20.0</v>
      </c>
      <c r="I13" s="38">
        <v>0.5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73.0</v>
      </c>
      <c r="E14" s="38">
        <v>0.1496</v>
      </c>
      <c r="F14" s="10">
        <v>20.0</v>
      </c>
      <c r="G14" s="38">
        <v>0.202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189.0</v>
      </c>
      <c r="E15" s="38">
        <v>0.3873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17.0</v>
      </c>
      <c r="E18" s="38">
        <v>0.0348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46.0</v>
      </c>
      <c r="E19" s="38">
        <v>0.0943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6.0</v>
      </c>
      <c r="E20" s="38">
        <v>0.0123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127.0</v>
      </c>
      <c r="E26" s="38">
        <v>0.2602</v>
      </c>
      <c r="F26" s="10">
        <v>23.0</v>
      </c>
      <c r="G26" s="38">
        <v>0.2323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97.0</v>
      </c>
      <c r="E27" s="38">
        <v>0.1988</v>
      </c>
      <c r="F27" s="10">
        <v>22.0</v>
      </c>
      <c r="G27" s="38">
        <v>0.2222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79.0</v>
      </c>
      <c r="E36" s="38">
        <v>0.1619</v>
      </c>
      <c r="F36" s="10">
        <v>13.0</v>
      </c>
      <c r="G36" s="38">
        <v>0.1313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275.0</v>
      </c>
      <c r="E37" s="38">
        <v>0.5635</v>
      </c>
      <c r="F37" s="10">
        <v>45.0</v>
      </c>
      <c r="G37" s="38">
        <v>0.4545</v>
      </c>
      <c r="H37" s="10">
        <v>17.0</v>
      </c>
      <c r="I37" s="38">
        <v>0.425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106.0</v>
      </c>
      <c r="E38" s="38">
        <v>0.2172</v>
      </c>
      <c r="F38" s="10">
        <v>29.0</v>
      </c>
      <c r="G38" s="38">
        <v>0.2929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26.0</v>
      </c>
      <c r="E39" s="38">
        <v>0.0533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79</v>
      </c>
    </row>
    <row r="40">
      <c r="A40" s="10" t="s">
        <v>9</v>
      </c>
      <c r="D40" s="10">
        <v>205.0</v>
      </c>
      <c r="E40" s="38">
        <v>0.4201</v>
      </c>
      <c r="F40" s="10">
        <v>54.0</v>
      </c>
      <c r="G40" s="38">
        <v>0.5455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22.0</v>
      </c>
      <c r="E42" s="38">
        <v>0.0451</v>
      </c>
      <c r="F42" s="10">
        <v>5.0</v>
      </c>
      <c r="G42" s="38">
        <v>0.0505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3.0</v>
      </c>
      <c r="G43" s="38">
        <v>0.0303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210.0</v>
      </c>
      <c r="E7" s="38">
        <v>0.4303</v>
      </c>
      <c r="F7" s="10">
        <v>38.0</v>
      </c>
      <c r="G7" s="38">
        <v>0.3838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278.0</v>
      </c>
      <c r="E8" s="38">
        <v>0.5697</v>
      </c>
      <c r="F8" s="10">
        <v>63.0</v>
      </c>
      <c r="G8" s="38">
        <v>0.6364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4.0</v>
      </c>
      <c r="E10" s="38">
        <v>0.0082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62.0</v>
      </c>
      <c r="E11" s="38">
        <v>0.127</v>
      </c>
      <c r="F11" s="10">
        <v>15.0</v>
      </c>
      <c r="G11" s="38">
        <v>0.1515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187.0</v>
      </c>
      <c r="E12" s="38">
        <v>0.3832</v>
      </c>
      <c r="F12" s="10">
        <v>47.0</v>
      </c>
      <c r="G12" s="38">
        <v>0.4747</v>
      </c>
      <c r="H12" s="10">
        <v>20.0</v>
      </c>
      <c r="I12" s="38">
        <v>0.5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238.0</v>
      </c>
      <c r="E13" s="38">
        <v>0.4877</v>
      </c>
      <c r="F13" s="10">
        <v>50.0</v>
      </c>
      <c r="G13" s="38">
        <v>0.5051</v>
      </c>
      <c r="H13" s="10">
        <v>21.0</v>
      </c>
      <c r="I13" s="38">
        <v>0.525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69.0</v>
      </c>
      <c r="E14" s="38">
        <v>0.1414</v>
      </c>
      <c r="F14" s="10">
        <v>18.0</v>
      </c>
      <c r="G14" s="38">
        <v>0.1818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188.0</v>
      </c>
      <c r="E15" s="38">
        <v>0.3852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30.0</v>
      </c>
      <c r="E18" s="38">
        <v>0.0615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37.0</v>
      </c>
      <c r="E19" s="38">
        <v>0.0758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13.0</v>
      </c>
      <c r="E20" s="38">
        <v>0.0266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141.0</v>
      </c>
      <c r="E26" s="38">
        <v>0.2889</v>
      </c>
      <c r="F26" s="10">
        <v>17.0</v>
      </c>
      <c r="G26" s="38">
        <v>0.1717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50.0</v>
      </c>
      <c r="E27" s="38">
        <v>0.1025</v>
      </c>
      <c r="F27" s="10">
        <v>10.0</v>
      </c>
      <c r="G27" s="38">
        <v>0.101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89.0</v>
      </c>
      <c r="E36" s="38">
        <v>0.1824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262.0</v>
      </c>
      <c r="E37" s="38">
        <v>0.5369</v>
      </c>
      <c r="F37" s="10">
        <v>38.0</v>
      </c>
      <c r="G37" s="38">
        <v>0.3838</v>
      </c>
      <c r="H37" s="10">
        <v>16.0</v>
      </c>
      <c r="I37" s="38">
        <v>0.4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99.0</v>
      </c>
      <c r="E38" s="38">
        <v>0.2029</v>
      </c>
      <c r="F38" s="10">
        <v>26.0</v>
      </c>
      <c r="G38" s="38">
        <v>0.2626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20.0</v>
      </c>
      <c r="E39" s="38">
        <v>0.041</v>
      </c>
      <c r="F39" s="10">
        <v>4.0</v>
      </c>
      <c r="G39" s="38">
        <v>0.0404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223.0</v>
      </c>
      <c r="E40" s="38">
        <v>0.457</v>
      </c>
      <c r="F40" s="10">
        <v>61.0</v>
      </c>
      <c r="G40" s="38">
        <v>0.6162</v>
      </c>
      <c r="H40" s="10">
        <v>25.0</v>
      </c>
      <c r="I40" s="38">
        <v>0.625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21.0</v>
      </c>
      <c r="E42" s="38">
        <v>0.043</v>
      </c>
      <c r="F42" s="10">
        <v>4.0</v>
      </c>
      <c r="G42" s="38">
        <v>0.0404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39.0</v>
      </c>
      <c r="E43" s="38">
        <v>0.0799</v>
      </c>
      <c r="F43" s="10">
        <v>3.0</v>
      </c>
      <c r="G43" s="38">
        <v>0.0303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6.0</v>
      </c>
      <c r="E44" s="38">
        <v>0.0123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265.0</v>
      </c>
      <c r="E7" s="38">
        <v>0.543</v>
      </c>
      <c r="F7" s="10">
        <v>48.0</v>
      </c>
      <c r="G7" s="38">
        <v>0.4848</v>
      </c>
      <c r="H7" s="10">
        <v>9.0</v>
      </c>
      <c r="I7" s="38">
        <v>0.225</v>
      </c>
      <c r="J7" s="10" t="s">
        <v>40</v>
      </c>
      <c r="L7" s="10">
        <v>1.0</v>
      </c>
    </row>
    <row r="8">
      <c r="A8" s="10" t="s">
        <v>48</v>
      </c>
      <c r="D8" s="10">
        <v>223.0</v>
      </c>
      <c r="E8" s="38">
        <v>0.457</v>
      </c>
      <c r="F8" s="10">
        <v>53.0</v>
      </c>
      <c r="G8" s="38">
        <v>0.5354</v>
      </c>
      <c r="H8" s="10">
        <v>24.0</v>
      </c>
      <c r="I8" s="38">
        <v>0.6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4.0</v>
      </c>
      <c r="E10" s="38">
        <v>0.0082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54.0</v>
      </c>
      <c r="E11" s="38">
        <v>0.1107</v>
      </c>
      <c r="F11" s="10">
        <v>12.0</v>
      </c>
      <c r="G11" s="38">
        <v>0.1212</v>
      </c>
      <c r="H11" s="10">
        <v>4.0</v>
      </c>
      <c r="I11" s="38">
        <v>0.1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209.0</v>
      </c>
      <c r="E12" s="38">
        <v>0.4283</v>
      </c>
      <c r="F12" s="10">
        <v>48.0</v>
      </c>
      <c r="G12" s="38">
        <v>0.4848</v>
      </c>
      <c r="H12" s="10">
        <v>22.0</v>
      </c>
      <c r="I12" s="38">
        <v>0.55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226.0</v>
      </c>
      <c r="E13" s="38">
        <v>0.4631</v>
      </c>
      <c r="F13" s="10">
        <v>46.0</v>
      </c>
      <c r="G13" s="38">
        <v>0.4646</v>
      </c>
      <c r="H13" s="10">
        <v>21.0</v>
      </c>
      <c r="I13" s="38">
        <v>0.525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63.0</v>
      </c>
      <c r="E14" s="38">
        <v>0.1291</v>
      </c>
      <c r="F14" s="10">
        <v>17.0</v>
      </c>
      <c r="G14" s="38">
        <v>0.1717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187.0</v>
      </c>
      <c r="E15" s="38">
        <v>0.3832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24.0</v>
      </c>
      <c r="E18" s="38">
        <v>0.0492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23.0</v>
      </c>
      <c r="E19" s="38">
        <v>0.0471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8.0</v>
      </c>
      <c r="E20" s="38">
        <v>0.0164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188.0</v>
      </c>
      <c r="E26" s="38">
        <v>0.3852</v>
      </c>
      <c r="F26" s="10">
        <v>28.0</v>
      </c>
      <c r="G26" s="38">
        <v>0.2828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40.0</v>
      </c>
      <c r="E27" s="38">
        <v>0.082</v>
      </c>
      <c r="F27" s="10">
        <v>7.0</v>
      </c>
      <c r="G27" s="38">
        <v>0.0707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91.0</v>
      </c>
      <c r="E36" s="38">
        <v>0.1865</v>
      </c>
      <c r="F36" s="10">
        <v>16.0</v>
      </c>
      <c r="G36" s="38">
        <v>0.1616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260.0</v>
      </c>
      <c r="E37" s="38">
        <v>0.5328</v>
      </c>
      <c r="F37" s="10">
        <v>40.0</v>
      </c>
      <c r="G37" s="38">
        <v>0.404</v>
      </c>
      <c r="H37" s="10">
        <v>12.0</v>
      </c>
      <c r="I37" s="38">
        <v>0.3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86.0</v>
      </c>
      <c r="E38" s="38">
        <v>0.1762</v>
      </c>
      <c r="F38" s="10">
        <v>21.0</v>
      </c>
      <c r="G38" s="38">
        <v>0.2121</v>
      </c>
      <c r="H38" s="10">
        <v>9.0</v>
      </c>
      <c r="I38" s="38">
        <v>0.225</v>
      </c>
      <c r="J38" s="10" t="s">
        <v>40</v>
      </c>
      <c r="K38" s="10" t="s">
        <v>43</v>
      </c>
    </row>
    <row r="39">
      <c r="A39" s="10" t="s">
        <v>78</v>
      </c>
      <c r="D39" s="10">
        <v>28.0</v>
      </c>
      <c r="E39" s="38">
        <v>0.0574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79</v>
      </c>
    </row>
    <row r="40">
      <c r="A40" s="10" t="s">
        <v>9</v>
      </c>
      <c r="D40" s="10">
        <v>223.0</v>
      </c>
      <c r="E40" s="38">
        <v>0.457</v>
      </c>
      <c r="F40" s="10">
        <v>61.0</v>
      </c>
      <c r="G40" s="38">
        <v>0.6162</v>
      </c>
      <c r="H40" s="10">
        <v>29.0</v>
      </c>
      <c r="I40" s="38">
        <v>0.725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23.0</v>
      </c>
      <c r="E42" s="38">
        <v>0.0471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55.0</v>
      </c>
      <c r="E43" s="38">
        <v>0.1127</v>
      </c>
      <c r="F43" s="10">
        <v>8.0</v>
      </c>
      <c r="G43" s="38">
        <v>0.0808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-0.01662300044</v>
      </c>
      <c r="I46" s="38">
        <v>-0.0166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0.55</v>
      </c>
    </row>
    <row r="50">
      <c r="A50" s="10" t="s">
        <v>87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326.0</v>
      </c>
      <c r="E7" s="38">
        <v>0.668</v>
      </c>
      <c r="F7" s="10">
        <v>60.0</v>
      </c>
      <c r="G7" s="38">
        <v>0.6061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162.0</v>
      </c>
      <c r="E8" s="38">
        <v>0.332</v>
      </c>
      <c r="F8" s="10">
        <v>41.0</v>
      </c>
      <c r="G8" s="38">
        <v>0.4141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55.0</v>
      </c>
      <c r="E11" s="38">
        <v>0.1127</v>
      </c>
      <c r="F11" s="10">
        <v>10.0</v>
      </c>
      <c r="G11" s="38">
        <v>0.101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216.0</v>
      </c>
      <c r="E12" s="38">
        <v>0.4426</v>
      </c>
      <c r="F12" s="10">
        <v>55.0</v>
      </c>
      <c r="G12" s="38">
        <v>0.5556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221.0</v>
      </c>
      <c r="E13" s="38">
        <v>0.4529</v>
      </c>
      <c r="F13" s="10">
        <v>44.0</v>
      </c>
      <c r="G13" s="38">
        <v>0.4444</v>
      </c>
      <c r="H13" s="10">
        <v>21.0</v>
      </c>
      <c r="I13" s="38">
        <v>0.525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75.0</v>
      </c>
      <c r="E14" s="38">
        <v>0.1537</v>
      </c>
      <c r="F14" s="10">
        <v>19.0</v>
      </c>
      <c r="G14" s="38">
        <v>0.1919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186.0</v>
      </c>
      <c r="E15" s="38">
        <v>0.3811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56.0</v>
      </c>
      <c r="E18" s="38">
        <v>0.1148</v>
      </c>
      <c r="F18" s="10">
        <v>6.0</v>
      </c>
      <c r="G18" s="38">
        <v>0.0606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12.0</v>
      </c>
      <c r="E19" s="38">
        <v>0.0246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12.0</v>
      </c>
      <c r="E20" s="38">
        <v>0.0246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6.0</v>
      </c>
      <c r="G21" s="38">
        <v>0.0606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226.0</v>
      </c>
      <c r="E26" s="38">
        <v>0.4631</v>
      </c>
      <c r="F26" s="10">
        <v>41.0</v>
      </c>
      <c r="G26" s="38">
        <v>0.4141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46.0</v>
      </c>
      <c r="E27" s="38">
        <v>0.0943</v>
      </c>
      <c r="F27" s="10">
        <v>8.0</v>
      </c>
      <c r="G27" s="38">
        <v>0.0808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96.0</v>
      </c>
      <c r="E36" s="38">
        <v>0.1967</v>
      </c>
      <c r="F36" s="10">
        <v>15.0</v>
      </c>
      <c r="G36" s="38">
        <v>0.1515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268.0</v>
      </c>
      <c r="E37" s="38">
        <v>0.5492</v>
      </c>
      <c r="F37" s="10">
        <v>42.0</v>
      </c>
      <c r="G37" s="38">
        <v>0.4242</v>
      </c>
      <c r="H37" s="10">
        <v>15.0</v>
      </c>
      <c r="I37" s="38">
        <v>0.375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78.0</v>
      </c>
      <c r="E38" s="38">
        <v>0.1598</v>
      </c>
      <c r="F38" s="10">
        <v>18.0</v>
      </c>
      <c r="G38" s="38">
        <v>0.1818</v>
      </c>
      <c r="H38" s="10">
        <v>10.0</v>
      </c>
      <c r="I38" s="38">
        <v>0.25</v>
      </c>
      <c r="J38" s="10" t="s">
        <v>40</v>
      </c>
      <c r="K38" s="10" t="s">
        <v>43</v>
      </c>
    </row>
    <row r="39">
      <c r="A39" s="10" t="s">
        <v>78</v>
      </c>
      <c r="D39" s="10">
        <v>32.0</v>
      </c>
      <c r="E39" s="38">
        <v>0.0656</v>
      </c>
      <c r="F39" s="10">
        <v>5.0</v>
      </c>
      <c r="G39" s="38">
        <v>0.0505</v>
      </c>
      <c r="H39" s="10">
        <v>2.0</v>
      </c>
      <c r="I39" s="38">
        <v>0.05</v>
      </c>
      <c r="J39" s="10" t="s">
        <v>40</v>
      </c>
      <c r="K39" s="10" t="s">
        <v>79</v>
      </c>
    </row>
    <row r="40">
      <c r="A40" s="10" t="s">
        <v>9</v>
      </c>
      <c r="D40" s="10">
        <v>212.0</v>
      </c>
      <c r="E40" s="38">
        <v>0.4344</v>
      </c>
      <c r="F40" s="10">
        <v>57.0</v>
      </c>
      <c r="G40" s="38">
        <v>0.5758</v>
      </c>
      <c r="H40" s="10">
        <v>26.0</v>
      </c>
      <c r="I40" s="38">
        <v>0.65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23.0</v>
      </c>
      <c r="E42" s="38">
        <v>0.0471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66.0</v>
      </c>
      <c r="E43" s="38">
        <v>0.1352</v>
      </c>
      <c r="F43" s="10">
        <v>13.0</v>
      </c>
      <c r="G43" s="38">
        <v>0.1313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5.0</v>
      </c>
      <c r="E44" s="38">
        <v>0.0102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-0.01259843639</v>
      </c>
      <c r="I46" s="38">
        <v>-0.0126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0.55</v>
      </c>
    </row>
    <row r="50">
      <c r="A50" s="10" t="s">
        <v>87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336.0</v>
      </c>
      <c r="E7" s="38">
        <v>0.6885</v>
      </c>
      <c r="F7" s="10">
        <v>65.0</v>
      </c>
      <c r="G7" s="38">
        <v>0.6566</v>
      </c>
      <c r="H7" s="10">
        <v>27.0</v>
      </c>
      <c r="I7" s="38">
        <v>0.675</v>
      </c>
      <c r="J7" s="10" t="s">
        <v>40</v>
      </c>
      <c r="L7" s="10">
        <v>1.0</v>
      </c>
    </row>
    <row r="8">
      <c r="A8" s="10" t="s">
        <v>48</v>
      </c>
      <c r="D8" s="10">
        <v>152.0</v>
      </c>
      <c r="E8" s="38">
        <v>0.3115</v>
      </c>
      <c r="F8" s="10">
        <v>36.0</v>
      </c>
      <c r="G8" s="38">
        <v>0.3636</v>
      </c>
      <c r="H8" s="10">
        <v>6.0</v>
      </c>
      <c r="I8" s="38">
        <v>0.15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67.0</v>
      </c>
      <c r="E11" s="38">
        <v>0.1373</v>
      </c>
      <c r="F11" s="10">
        <v>16.0</v>
      </c>
      <c r="G11" s="38">
        <v>0.1616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187.0</v>
      </c>
      <c r="E12" s="38">
        <v>0.3832</v>
      </c>
      <c r="F12" s="10">
        <v>47.0</v>
      </c>
      <c r="G12" s="38">
        <v>0.4747</v>
      </c>
      <c r="H12" s="10">
        <v>21.0</v>
      </c>
      <c r="I12" s="38">
        <v>0.525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200.0</v>
      </c>
      <c r="E13" s="38">
        <v>0.4098</v>
      </c>
      <c r="F13" s="10">
        <v>40.0</v>
      </c>
      <c r="G13" s="38">
        <v>0.404</v>
      </c>
      <c r="H13" s="10">
        <v>21.0</v>
      </c>
      <c r="I13" s="38">
        <v>0.525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102.0</v>
      </c>
      <c r="E14" s="38">
        <v>0.209</v>
      </c>
      <c r="F14" s="10">
        <v>31.0</v>
      </c>
      <c r="G14" s="38">
        <v>0.3131</v>
      </c>
      <c r="H14" s="10">
        <v>10.0</v>
      </c>
      <c r="I14" s="38">
        <v>0.25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188.0</v>
      </c>
      <c r="E15" s="38">
        <v>0.3852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99.0</v>
      </c>
      <c r="E18" s="38">
        <v>0.2029</v>
      </c>
      <c r="F18" s="10">
        <v>12.0</v>
      </c>
      <c r="G18" s="38">
        <v>0.1212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7.0</v>
      </c>
      <c r="E19" s="38">
        <v>0.0143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21.0</v>
      </c>
      <c r="E20" s="38">
        <v>0.043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12.0</v>
      </c>
      <c r="G21" s="38">
        <v>0.1212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203.0</v>
      </c>
      <c r="E26" s="38">
        <v>0.416</v>
      </c>
      <c r="F26" s="10">
        <v>36.0</v>
      </c>
      <c r="G26" s="38">
        <v>0.3636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77.0</v>
      </c>
      <c r="E27" s="38">
        <v>0.1578</v>
      </c>
      <c r="F27" s="10">
        <v>17.0</v>
      </c>
      <c r="G27" s="38">
        <v>0.1717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84.0</v>
      </c>
      <c r="E36" s="38">
        <v>0.1721</v>
      </c>
      <c r="F36" s="10">
        <v>14.0</v>
      </c>
      <c r="G36" s="38">
        <v>0.1414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274.0</v>
      </c>
      <c r="E37" s="38">
        <v>0.5615</v>
      </c>
      <c r="F37" s="10">
        <v>43.0</v>
      </c>
      <c r="G37" s="38">
        <v>0.4343</v>
      </c>
      <c r="H37" s="10">
        <v>13.0</v>
      </c>
      <c r="I37" s="38">
        <v>0.325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96.0</v>
      </c>
      <c r="E38" s="38">
        <v>0.1967</v>
      </c>
      <c r="F38" s="10">
        <v>22.0</v>
      </c>
      <c r="G38" s="38">
        <v>0.2222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26.0</v>
      </c>
      <c r="E39" s="38">
        <v>0.0533</v>
      </c>
      <c r="F39" s="10">
        <v>2.0</v>
      </c>
      <c r="G39" s="38">
        <v>0.0202</v>
      </c>
      <c r="H39" s="10">
        <v>1.0</v>
      </c>
      <c r="I39" s="38">
        <v>0.025</v>
      </c>
      <c r="J39" s="10" t="s">
        <v>40</v>
      </c>
      <c r="K39" s="10" t="s">
        <v>79</v>
      </c>
    </row>
    <row r="40">
      <c r="A40" s="10" t="s">
        <v>9</v>
      </c>
      <c r="D40" s="10">
        <v>206.0</v>
      </c>
      <c r="E40" s="38">
        <v>0.4221</v>
      </c>
      <c r="F40" s="10">
        <v>57.0</v>
      </c>
      <c r="G40" s="38">
        <v>0.5758</v>
      </c>
      <c r="H40" s="10">
        <v>28.0</v>
      </c>
      <c r="I40" s="38">
        <v>0.7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26.0</v>
      </c>
      <c r="E42" s="38">
        <v>0.0533</v>
      </c>
      <c r="F42" s="10">
        <v>5.0</v>
      </c>
      <c r="G42" s="38">
        <v>0.0505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50.0</v>
      </c>
      <c r="E43" s="38">
        <v>0.1025</v>
      </c>
      <c r="F43" s="10">
        <v>9.0</v>
      </c>
      <c r="G43" s="38">
        <v>0.0909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2.0</v>
      </c>
      <c r="E44" s="38">
        <v>0.0041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-0.01815828537</v>
      </c>
      <c r="I46" s="38">
        <v>-0.0182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307.0</v>
      </c>
      <c r="E7" s="38">
        <v>0.6291</v>
      </c>
      <c r="F7" s="10">
        <v>56.0</v>
      </c>
      <c r="G7" s="38">
        <v>0.5657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181.0</v>
      </c>
      <c r="E8" s="38">
        <v>0.3709</v>
      </c>
      <c r="F8" s="10">
        <v>45.0</v>
      </c>
      <c r="G8" s="38">
        <v>0.4545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59.0</v>
      </c>
      <c r="E11" s="38">
        <v>0.1209</v>
      </c>
      <c r="F11" s="10">
        <v>12.0</v>
      </c>
      <c r="G11" s="38">
        <v>0.1212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151.0</v>
      </c>
      <c r="E12" s="38">
        <v>0.3094</v>
      </c>
      <c r="F12" s="10">
        <v>38.0</v>
      </c>
      <c r="G12" s="38">
        <v>0.3838</v>
      </c>
      <c r="H12" s="10">
        <v>15.0</v>
      </c>
      <c r="I12" s="38">
        <v>0.375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203.0</v>
      </c>
      <c r="E13" s="38">
        <v>0.416</v>
      </c>
      <c r="F13" s="10">
        <v>39.0</v>
      </c>
      <c r="G13" s="38">
        <v>0.3939</v>
      </c>
      <c r="H13" s="10">
        <v>22.0</v>
      </c>
      <c r="I13" s="38">
        <v>0.55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103.0</v>
      </c>
      <c r="E14" s="38">
        <v>0.2111</v>
      </c>
      <c r="F14" s="10">
        <v>26.0</v>
      </c>
      <c r="G14" s="38">
        <v>0.2626</v>
      </c>
      <c r="H14" s="10">
        <v>10.0</v>
      </c>
      <c r="I14" s="38">
        <v>0.25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177.0</v>
      </c>
      <c r="E15" s="38">
        <v>0.3627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115.0</v>
      </c>
      <c r="E18" s="38">
        <v>0.2357</v>
      </c>
      <c r="F18" s="10">
        <v>9.0</v>
      </c>
      <c r="G18" s="38">
        <v>0.0909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12.0</v>
      </c>
      <c r="E19" s="38">
        <v>0.0246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24.0</v>
      </c>
      <c r="E20" s="38">
        <v>0.0492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9.0</v>
      </c>
      <c r="G21" s="38">
        <v>0.0909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158.0</v>
      </c>
      <c r="E26" s="38">
        <v>0.3238</v>
      </c>
      <c r="F26" s="10">
        <v>26.0</v>
      </c>
      <c r="G26" s="38">
        <v>0.2626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135.0</v>
      </c>
      <c r="E27" s="38">
        <v>0.2766</v>
      </c>
      <c r="F27" s="10">
        <v>34.0</v>
      </c>
      <c r="G27" s="38">
        <v>0.3434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58.0</v>
      </c>
      <c r="E36" s="38">
        <v>0.1189</v>
      </c>
      <c r="F36" s="10">
        <v>12.0</v>
      </c>
      <c r="G36" s="38">
        <v>0.1212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289.0</v>
      </c>
      <c r="E37" s="38">
        <v>0.5922</v>
      </c>
      <c r="F37" s="10">
        <v>50.0</v>
      </c>
      <c r="G37" s="38">
        <v>0.5051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106.0</v>
      </c>
      <c r="E38" s="38">
        <v>0.2172</v>
      </c>
      <c r="F38" s="10">
        <v>21.0</v>
      </c>
      <c r="G38" s="38">
        <v>0.2121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17.0</v>
      </c>
      <c r="E39" s="38">
        <v>0.0348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194.0</v>
      </c>
      <c r="E40" s="38">
        <v>0.3975</v>
      </c>
      <c r="F40" s="10">
        <v>51.0</v>
      </c>
      <c r="G40" s="38">
        <v>0.5152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18.0</v>
      </c>
      <c r="E42" s="38">
        <v>0.0369</v>
      </c>
      <c r="F42" s="10">
        <v>4.0</v>
      </c>
      <c r="G42" s="38">
        <v>0.0404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36.0</v>
      </c>
      <c r="E43" s="38">
        <v>0.0738</v>
      </c>
      <c r="F43" s="10">
        <v>3.0</v>
      </c>
      <c r="G43" s="38">
        <v>0.0303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-0.006984726787</v>
      </c>
      <c r="I46" s="38">
        <v>-0.007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253.0</v>
      </c>
      <c r="E7" s="38">
        <v>0.5184</v>
      </c>
      <c r="F7" s="10">
        <v>37.0</v>
      </c>
      <c r="G7" s="38">
        <v>0.3737</v>
      </c>
      <c r="H7" s="10">
        <v>18.0</v>
      </c>
      <c r="I7" s="38">
        <v>0.45</v>
      </c>
      <c r="J7" s="10" t="s">
        <v>40</v>
      </c>
      <c r="L7" s="10">
        <v>1.0</v>
      </c>
    </row>
    <row r="8">
      <c r="A8" s="10" t="s">
        <v>48</v>
      </c>
      <c r="D8" s="10">
        <v>235.0</v>
      </c>
      <c r="E8" s="38">
        <v>0.4816</v>
      </c>
      <c r="F8" s="10">
        <v>64.0</v>
      </c>
      <c r="G8" s="38">
        <v>0.6465</v>
      </c>
      <c r="H8" s="10">
        <v>15.0</v>
      </c>
      <c r="I8" s="38">
        <v>0.375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38.0</v>
      </c>
      <c r="E11" s="38">
        <v>0.0779</v>
      </c>
      <c r="F11" s="10">
        <v>9.0</v>
      </c>
      <c r="G11" s="38">
        <v>0.0909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107.0</v>
      </c>
      <c r="E12" s="38">
        <v>0.2193</v>
      </c>
      <c r="F12" s="10">
        <v>33.0</v>
      </c>
      <c r="G12" s="38">
        <v>0.3333</v>
      </c>
      <c r="H12" s="10">
        <v>4.0</v>
      </c>
      <c r="I12" s="38">
        <v>0.1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223.0</v>
      </c>
      <c r="E13" s="38">
        <v>0.457</v>
      </c>
      <c r="F13" s="10">
        <v>39.0</v>
      </c>
      <c r="G13" s="38">
        <v>0.3939</v>
      </c>
      <c r="H13" s="10">
        <v>14.0</v>
      </c>
      <c r="I13" s="38">
        <v>0.35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93.0</v>
      </c>
      <c r="E14" s="38">
        <v>0.1906</v>
      </c>
      <c r="F14" s="10">
        <v>23.0</v>
      </c>
      <c r="G14" s="38">
        <v>0.2323</v>
      </c>
      <c r="H14" s="10">
        <v>11.0</v>
      </c>
      <c r="I14" s="38">
        <v>0.275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172.0</v>
      </c>
      <c r="E15" s="38">
        <v>0.3525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31.0</v>
      </c>
      <c r="E18" s="38">
        <v>0.0635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31.0</v>
      </c>
      <c r="E19" s="38">
        <v>0.0635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91.0</v>
      </c>
      <c r="E26" s="38">
        <v>0.1865</v>
      </c>
      <c r="F26" s="10">
        <v>13.0</v>
      </c>
      <c r="G26" s="38">
        <v>0.1313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127.0</v>
      </c>
      <c r="E27" s="38">
        <v>0.2602</v>
      </c>
      <c r="F27" s="10">
        <v>34.0</v>
      </c>
      <c r="G27" s="38">
        <v>0.3434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69.0</v>
      </c>
      <c r="E36" s="38">
        <v>0.1414</v>
      </c>
      <c r="F36" s="10">
        <v>12.0</v>
      </c>
      <c r="G36" s="38">
        <v>0.1212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292.0</v>
      </c>
      <c r="E37" s="38">
        <v>0.5984</v>
      </c>
      <c r="F37" s="10">
        <v>49.0</v>
      </c>
      <c r="G37" s="38">
        <v>0.4949</v>
      </c>
      <c r="H37" s="10">
        <v>17.0</v>
      </c>
      <c r="I37" s="38">
        <v>0.425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115.0</v>
      </c>
      <c r="E38" s="38">
        <v>0.2357</v>
      </c>
      <c r="F38" s="10">
        <v>27.0</v>
      </c>
      <c r="G38" s="38">
        <v>0.2727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38.0</v>
      </c>
      <c r="E39" s="38">
        <v>0.0779</v>
      </c>
      <c r="F39" s="10">
        <v>4.0</v>
      </c>
      <c r="G39" s="38">
        <v>0.0404</v>
      </c>
      <c r="H39" s="10">
        <v>0.0</v>
      </c>
      <c r="I39" s="38">
        <v>0.0</v>
      </c>
      <c r="J39" s="10" t="s">
        <v>40</v>
      </c>
      <c r="K39" s="10" t="s">
        <v>79</v>
      </c>
    </row>
    <row r="40">
      <c r="A40" s="10" t="s">
        <v>9</v>
      </c>
      <c r="D40" s="10">
        <v>190.0</v>
      </c>
      <c r="E40" s="38">
        <v>0.3893</v>
      </c>
      <c r="F40" s="10">
        <v>52.0</v>
      </c>
      <c r="G40" s="38">
        <v>0.5253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14.0</v>
      </c>
      <c r="E42" s="38">
        <v>0.0287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5.0</v>
      </c>
      <c r="G43" s="38">
        <v>0.0505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-0.008923054733</v>
      </c>
      <c r="I46" s="38">
        <v>-0.0089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260.0</v>
      </c>
      <c r="E7" s="38">
        <v>0.5328</v>
      </c>
      <c r="F7" s="10">
        <v>42.0</v>
      </c>
      <c r="G7" s="38">
        <v>0.4242</v>
      </c>
      <c r="H7" s="10">
        <v>18.0</v>
      </c>
      <c r="I7" s="38">
        <v>0.45</v>
      </c>
      <c r="J7" s="10" t="s">
        <v>40</v>
      </c>
      <c r="L7" s="10">
        <v>1.0</v>
      </c>
    </row>
    <row r="8">
      <c r="A8" s="10" t="s">
        <v>48</v>
      </c>
      <c r="D8" s="10">
        <v>228.0</v>
      </c>
      <c r="E8" s="38">
        <v>0.4672</v>
      </c>
      <c r="F8" s="10">
        <v>59.0</v>
      </c>
      <c r="G8" s="38">
        <v>0.596</v>
      </c>
      <c r="H8" s="10">
        <v>15.0</v>
      </c>
      <c r="I8" s="38">
        <v>0.375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36.0</v>
      </c>
      <c r="E11" s="38">
        <v>0.0738</v>
      </c>
      <c r="F11" s="10">
        <v>8.0</v>
      </c>
      <c r="G11" s="38">
        <v>0.0808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112.0</v>
      </c>
      <c r="E12" s="38">
        <v>0.2295</v>
      </c>
      <c r="F12" s="10">
        <v>37.0</v>
      </c>
      <c r="G12" s="38">
        <v>0.3737</v>
      </c>
      <c r="H12" s="10">
        <v>3.0</v>
      </c>
      <c r="I12" s="38">
        <v>0.075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237.0</v>
      </c>
      <c r="E13" s="38">
        <v>0.4857</v>
      </c>
      <c r="F13" s="10">
        <v>40.0</v>
      </c>
      <c r="G13" s="38">
        <v>0.404</v>
      </c>
      <c r="H13" s="10">
        <v>13.0</v>
      </c>
      <c r="I13" s="38">
        <v>0.325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79.0</v>
      </c>
      <c r="E14" s="38">
        <v>0.1619</v>
      </c>
      <c r="F14" s="10">
        <v>24.0</v>
      </c>
      <c r="G14" s="38">
        <v>0.2424</v>
      </c>
      <c r="H14" s="10">
        <v>11.0</v>
      </c>
      <c r="I14" s="38">
        <v>0.275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176.0</v>
      </c>
      <c r="E15" s="38">
        <v>0.3607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8.0</v>
      </c>
      <c r="E18" s="38">
        <v>0.0164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66.0</v>
      </c>
      <c r="E19" s="38">
        <v>0.1352</v>
      </c>
      <c r="F19" s="10">
        <v>5.0</v>
      </c>
      <c r="G19" s="38">
        <v>0.0505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1.0</v>
      </c>
      <c r="E20" s="38">
        <v>0.002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7.0</v>
      </c>
      <c r="E21" s="38">
        <v>0.0143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116.0</v>
      </c>
      <c r="E26" s="38">
        <v>0.2377</v>
      </c>
      <c r="F26" s="10">
        <v>20.0</v>
      </c>
      <c r="G26" s="38">
        <v>0.202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94.0</v>
      </c>
      <c r="E27" s="38">
        <v>0.1926</v>
      </c>
      <c r="F27" s="10">
        <v>24.0</v>
      </c>
      <c r="G27" s="38">
        <v>0.2424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75.0</v>
      </c>
      <c r="E36" s="38">
        <v>0.1537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294.0</v>
      </c>
      <c r="E37" s="38">
        <v>0.6025</v>
      </c>
      <c r="F37" s="10">
        <v>43.0</v>
      </c>
      <c r="G37" s="38">
        <v>0.4343</v>
      </c>
      <c r="H37" s="10">
        <v>16.0</v>
      </c>
      <c r="I37" s="38">
        <v>0.4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117.0</v>
      </c>
      <c r="E38" s="38">
        <v>0.2398</v>
      </c>
      <c r="F38" s="10">
        <v>22.0</v>
      </c>
      <c r="G38" s="38">
        <v>0.2222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35.0</v>
      </c>
      <c r="E39" s="38">
        <v>0.0717</v>
      </c>
      <c r="F39" s="10">
        <v>4.0</v>
      </c>
      <c r="G39" s="38">
        <v>0.0404</v>
      </c>
      <c r="H39" s="10">
        <v>0.0</v>
      </c>
      <c r="I39" s="38">
        <v>0.0</v>
      </c>
      <c r="J39" s="10" t="s">
        <v>40</v>
      </c>
      <c r="K39" s="10" t="s">
        <v>79</v>
      </c>
    </row>
    <row r="40">
      <c r="A40" s="10" t="s">
        <v>9</v>
      </c>
      <c r="D40" s="10">
        <v>188.0</v>
      </c>
      <c r="E40" s="38">
        <v>0.3852</v>
      </c>
      <c r="F40" s="10">
        <v>58.0</v>
      </c>
      <c r="G40" s="38">
        <v>0.5859</v>
      </c>
      <c r="H40" s="10">
        <v>25.0</v>
      </c>
      <c r="I40" s="38">
        <v>0.625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14.0</v>
      </c>
      <c r="E42" s="38">
        <v>0.0287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4.0</v>
      </c>
      <c r="G43" s="38">
        <v>0.0404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6.0</v>
      </c>
      <c r="E44" s="38">
        <v>0.0123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-0.01135546313</v>
      </c>
      <c r="I46" s="38">
        <v>-0.0114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310.0</v>
      </c>
      <c r="E7" s="38">
        <v>0.6352</v>
      </c>
      <c r="F7" s="10">
        <v>47.0</v>
      </c>
      <c r="G7" s="38">
        <v>0.4747</v>
      </c>
      <c r="H7" s="10">
        <v>22.0</v>
      </c>
      <c r="I7" s="38">
        <v>0.55</v>
      </c>
      <c r="J7" s="10" t="s">
        <v>40</v>
      </c>
      <c r="L7" s="10">
        <v>1.0</v>
      </c>
    </row>
    <row r="8">
      <c r="A8" s="10" t="s">
        <v>48</v>
      </c>
      <c r="D8" s="10">
        <v>178.0</v>
      </c>
      <c r="E8" s="38">
        <v>0.3648</v>
      </c>
      <c r="F8" s="10">
        <v>54.0</v>
      </c>
      <c r="G8" s="38">
        <v>0.5455</v>
      </c>
      <c r="H8" s="10">
        <v>11.0</v>
      </c>
      <c r="I8" s="38">
        <v>0.275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45.0</v>
      </c>
      <c r="E11" s="38">
        <v>0.0922</v>
      </c>
      <c r="F11" s="10">
        <v>12.0</v>
      </c>
      <c r="G11" s="38">
        <v>0.1212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128.0</v>
      </c>
      <c r="E12" s="38">
        <v>0.2623</v>
      </c>
      <c r="F12" s="10">
        <v>40.0</v>
      </c>
      <c r="G12" s="38">
        <v>0.404</v>
      </c>
      <c r="H12" s="10">
        <v>4.0</v>
      </c>
      <c r="I12" s="38">
        <v>0.1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243.0</v>
      </c>
      <c r="E13" s="38">
        <v>0.498</v>
      </c>
      <c r="F13" s="10">
        <v>40.0</v>
      </c>
      <c r="G13" s="38">
        <v>0.404</v>
      </c>
      <c r="H13" s="10">
        <v>11.0</v>
      </c>
      <c r="I13" s="38">
        <v>0.275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71.0</v>
      </c>
      <c r="E14" s="38">
        <v>0.1455</v>
      </c>
      <c r="F14" s="10">
        <v>20.0</v>
      </c>
      <c r="G14" s="38">
        <v>0.202</v>
      </c>
      <c r="H14" s="10">
        <v>13.0</v>
      </c>
      <c r="I14" s="38">
        <v>0.325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179.0</v>
      </c>
      <c r="E15" s="38">
        <v>0.3668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13.0</v>
      </c>
      <c r="E18" s="38">
        <v>0.0266</v>
      </c>
      <c r="F18" s="10">
        <v>1.0</v>
      </c>
      <c r="G18" s="38">
        <v>0.0101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71.0</v>
      </c>
      <c r="E19" s="38">
        <v>0.1455</v>
      </c>
      <c r="F19" s="10">
        <v>9.0</v>
      </c>
      <c r="G19" s="38">
        <v>0.0909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3.0</v>
      </c>
      <c r="E20" s="38">
        <v>0.0061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1.0</v>
      </c>
      <c r="G21" s="38">
        <v>0.0101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145.0</v>
      </c>
      <c r="E26" s="38">
        <v>0.2971</v>
      </c>
      <c r="F26" s="10">
        <v>27.0</v>
      </c>
      <c r="G26" s="38">
        <v>0.2727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68.0</v>
      </c>
      <c r="E27" s="38">
        <v>0.1393</v>
      </c>
      <c r="F27" s="10">
        <v>15.0</v>
      </c>
      <c r="G27" s="38">
        <v>0.1515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77.0</v>
      </c>
      <c r="E36" s="38">
        <v>0.1578</v>
      </c>
      <c r="F36" s="10">
        <v>11.0</v>
      </c>
      <c r="G36" s="38">
        <v>0.1111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284.0</v>
      </c>
      <c r="E37" s="38">
        <v>0.582</v>
      </c>
      <c r="F37" s="10">
        <v>42.0</v>
      </c>
      <c r="G37" s="38">
        <v>0.4242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106.0</v>
      </c>
      <c r="E38" s="38">
        <v>0.2172</v>
      </c>
      <c r="F38" s="10">
        <v>28.0</v>
      </c>
      <c r="G38" s="38">
        <v>0.2828</v>
      </c>
      <c r="H38" s="10">
        <v>17.0</v>
      </c>
      <c r="I38" s="38">
        <v>0.425</v>
      </c>
      <c r="J38" s="10" t="s">
        <v>40</v>
      </c>
      <c r="K38" s="10" t="s">
        <v>43</v>
      </c>
    </row>
    <row r="39">
      <c r="A39" s="10" t="s">
        <v>78</v>
      </c>
      <c r="D39" s="10">
        <v>38.0</v>
      </c>
      <c r="E39" s="38">
        <v>0.0779</v>
      </c>
      <c r="F39" s="10">
        <v>5.0</v>
      </c>
      <c r="G39" s="38">
        <v>0.0505</v>
      </c>
      <c r="H39" s="10">
        <v>1.0</v>
      </c>
      <c r="I39" s="38">
        <v>0.025</v>
      </c>
      <c r="J39" s="10" t="s">
        <v>40</v>
      </c>
      <c r="K39" s="10" t="s">
        <v>79</v>
      </c>
    </row>
    <row r="40">
      <c r="A40" s="10" t="s">
        <v>9</v>
      </c>
      <c r="D40" s="10">
        <v>197.0</v>
      </c>
      <c r="E40" s="38">
        <v>0.4037</v>
      </c>
      <c r="F40" s="10">
        <v>58.0</v>
      </c>
      <c r="G40" s="38">
        <v>0.5859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17.0</v>
      </c>
      <c r="E42" s="38">
        <v>0.0348</v>
      </c>
      <c r="F42" s="10">
        <v>4.0</v>
      </c>
      <c r="G42" s="38">
        <v>0.0404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2.0</v>
      </c>
      <c r="G43" s="38">
        <v>0.0202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-0.01107697957</v>
      </c>
      <c r="I46" s="38">
        <v>-0.0111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366.0</v>
      </c>
      <c r="E7" s="38">
        <v>0.75</v>
      </c>
      <c r="F7" s="10">
        <v>61.0</v>
      </c>
      <c r="G7" s="38">
        <v>0.6162</v>
      </c>
      <c r="H7" s="10">
        <v>26.0</v>
      </c>
      <c r="I7" s="38">
        <v>0.65</v>
      </c>
      <c r="J7" s="10" t="s">
        <v>40</v>
      </c>
      <c r="L7" s="10">
        <v>1.0</v>
      </c>
    </row>
    <row r="8">
      <c r="A8" s="10" t="s">
        <v>48</v>
      </c>
      <c r="D8" s="10">
        <v>122.0</v>
      </c>
      <c r="E8" s="38">
        <v>0.25</v>
      </c>
      <c r="F8" s="10">
        <v>40.0</v>
      </c>
      <c r="G8" s="38">
        <v>0.404</v>
      </c>
      <c r="H8" s="10">
        <v>7.0</v>
      </c>
      <c r="I8" s="38">
        <v>0.175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61.0</v>
      </c>
      <c r="E11" s="38">
        <v>0.125</v>
      </c>
      <c r="F11" s="10">
        <v>12.0</v>
      </c>
      <c r="G11" s="38">
        <v>0.1212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157.0</v>
      </c>
      <c r="E12" s="38">
        <v>0.3217</v>
      </c>
      <c r="F12" s="10">
        <v>46.0</v>
      </c>
      <c r="G12" s="38">
        <v>0.4646</v>
      </c>
      <c r="H12" s="10">
        <v>17.0</v>
      </c>
      <c r="I12" s="38">
        <v>0.425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232.0</v>
      </c>
      <c r="E13" s="38">
        <v>0.4754</v>
      </c>
      <c r="F13" s="10">
        <v>37.0</v>
      </c>
      <c r="G13" s="38">
        <v>0.3737</v>
      </c>
      <c r="H13" s="10">
        <v>11.0</v>
      </c>
      <c r="I13" s="38">
        <v>0.275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98.0</v>
      </c>
      <c r="E14" s="38">
        <v>0.2008</v>
      </c>
      <c r="F14" s="10">
        <v>34.0</v>
      </c>
      <c r="G14" s="38">
        <v>0.3434</v>
      </c>
      <c r="H14" s="10">
        <v>14.0</v>
      </c>
      <c r="I14" s="38">
        <v>0.35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187.0</v>
      </c>
      <c r="E15" s="38">
        <v>0.3832</v>
      </c>
      <c r="F15" s="10">
        <v>57.0</v>
      </c>
      <c r="G15" s="38">
        <v>0.5758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40.0</v>
      </c>
      <c r="E18" s="38">
        <v>0.082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14.0</v>
      </c>
      <c r="E19" s="38">
        <v>0.0287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10.0</v>
      </c>
      <c r="E20" s="38">
        <v>0.0205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315.0</v>
      </c>
      <c r="E26" s="38">
        <v>0.6455</v>
      </c>
      <c r="F26" s="10">
        <v>66.0</v>
      </c>
      <c r="G26" s="38">
        <v>0.6667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125.0</v>
      </c>
      <c r="E27" s="38">
        <v>0.2561</v>
      </c>
      <c r="F27" s="10">
        <v>27.0</v>
      </c>
      <c r="G27" s="38">
        <v>0.2727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85.0</v>
      </c>
      <c r="E36" s="38">
        <v>0.1742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283.0</v>
      </c>
      <c r="E37" s="38">
        <v>0.5799</v>
      </c>
      <c r="F37" s="10">
        <v>40.0</v>
      </c>
      <c r="G37" s="38">
        <v>0.404</v>
      </c>
      <c r="H37" s="10">
        <v>19.0</v>
      </c>
      <c r="I37" s="38">
        <v>0.475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113.0</v>
      </c>
      <c r="E38" s="38">
        <v>0.2316</v>
      </c>
      <c r="F38" s="10">
        <v>31.0</v>
      </c>
      <c r="G38" s="38">
        <v>0.3131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32.0</v>
      </c>
      <c r="E39" s="38">
        <v>0.0656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79</v>
      </c>
    </row>
    <row r="40">
      <c r="A40" s="10" t="s">
        <v>9</v>
      </c>
      <c r="D40" s="10">
        <v>195.0</v>
      </c>
      <c r="E40" s="38">
        <v>0.3996</v>
      </c>
      <c r="F40" s="10">
        <v>59.0</v>
      </c>
      <c r="G40" s="38">
        <v>0.596</v>
      </c>
      <c r="H40" s="10">
        <v>22.0</v>
      </c>
      <c r="I40" s="38">
        <v>0.55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20.0</v>
      </c>
      <c r="E42" s="38">
        <v>0.041</v>
      </c>
      <c r="F42" s="10">
        <v>5.0</v>
      </c>
      <c r="G42" s="38">
        <v>0.0505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37.0</v>
      </c>
      <c r="E43" s="38">
        <v>0.0758</v>
      </c>
      <c r="F43" s="10">
        <v>6.0</v>
      </c>
      <c r="G43" s="38">
        <v>0.0606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-0.008597073496</v>
      </c>
      <c r="I46" s="38">
        <v>-0.0086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402.0</v>
      </c>
      <c r="E7" s="38">
        <v>0.8238</v>
      </c>
      <c r="F7" s="10">
        <v>76.0</v>
      </c>
      <c r="G7" s="38">
        <v>0.7677</v>
      </c>
      <c r="H7" s="10">
        <v>29.0</v>
      </c>
      <c r="I7" s="38">
        <v>0.725</v>
      </c>
      <c r="J7" s="10" t="s">
        <v>40</v>
      </c>
      <c r="L7" s="10">
        <v>1.0</v>
      </c>
    </row>
    <row r="8">
      <c r="A8" s="10" t="s">
        <v>48</v>
      </c>
      <c r="D8" s="10">
        <v>86.0</v>
      </c>
      <c r="E8" s="38">
        <v>0.1762</v>
      </c>
      <c r="F8" s="10">
        <v>25.0</v>
      </c>
      <c r="G8" s="38">
        <v>0.2525</v>
      </c>
      <c r="H8" s="10">
        <v>4.0</v>
      </c>
      <c r="I8" s="38">
        <v>0.1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50.0</v>
      </c>
      <c r="E11" s="38">
        <v>0.1025</v>
      </c>
      <c r="F11" s="10">
        <v>12.0</v>
      </c>
      <c r="G11" s="38">
        <v>0.1212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148.0</v>
      </c>
      <c r="E12" s="38">
        <v>0.3033</v>
      </c>
      <c r="F12" s="10">
        <v>47.0</v>
      </c>
      <c r="G12" s="38">
        <v>0.4747</v>
      </c>
      <c r="H12" s="10">
        <v>15.0</v>
      </c>
      <c r="I12" s="38">
        <v>0.375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222.0</v>
      </c>
      <c r="E13" s="38">
        <v>0.4549</v>
      </c>
      <c r="F13" s="10">
        <v>34.0</v>
      </c>
      <c r="G13" s="38">
        <v>0.3434</v>
      </c>
      <c r="H13" s="10">
        <v>8.0</v>
      </c>
      <c r="I13" s="38">
        <v>0.2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101.0</v>
      </c>
      <c r="E14" s="38">
        <v>0.207</v>
      </c>
      <c r="F14" s="10">
        <v>38.0</v>
      </c>
      <c r="G14" s="38">
        <v>0.3838</v>
      </c>
      <c r="H14" s="10">
        <v>19.0</v>
      </c>
      <c r="I14" s="38">
        <v>0.475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182.0</v>
      </c>
      <c r="E15" s="38">
        <v>0.373</v>
      </c>
      <c r="F15" s="10">
        <v>58.0</v>
      </c>
      <c r="G15" s="38">
        <v>0.5859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72.0</v>
      </c>
      <c r="E18" s="38">
        <v>0.1475</v>
      </c>
      <c r="F18" s="10">
        <v>11.0</v>
      </c>
      <c r="G18" s="38">
        <v>0.1111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5.0</v>
      </c>
      <c r="E19" s="38">
        <v>0.0102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17.0</v>
      </c>
      <c r="E20" s="38">
        <v>0.0348</v>
      </c>
      <c r="F20" s="10">
        <v>3.0</v>
      </c>
      <c r="G20" s="38">
        <v>0.0303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11.0</v>
      </c>
      <c r="G21" s="38">
        <v>0.1111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290.0</v>
      </c>
      <c r="E26" s="38">
        <v>0.5943</v>
      </c>
      <c r="F26" s="10">
        <v>63.0</v>
      </c>
      <c r="G26" s="38">
        <v>0.6364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147.0</v>
      </c>
      <c r="E27" s="38">
        <v>0.3012</v>
      </c>
      <c r="F27" s="10">
        <v>29.0</v>
      </c>
      <c r="G27" s="38">
        <v>0.2929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79.0</v>
      </c>
      <c r="E36" s="38">
        <v>0.1619</v>
      </c>
      <c r="F36" s="10">
        <v>13.0</v>
      </c>
      <c r="G36" s="38">
        <v>0.1313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277.0</v>
      </c>
      <c r="E37" s="38">
        <v>0.5676</v>
      </c>
      <c r="F37" s="10">
        <v>40.0</v>
      </c>
      <c r="G37" s="38">
        <v>0.404</v>
      </c>
      <c r="H37" s="10">
        <v>13.0</v>
      </c>
      <c r="I37" s="38">
        <v>0.325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101.0</v>
      </c>
      <c r="E38" s="38">
        <v>0.207</v>
      </c>
      <c r="F38" s="10">
        <v>24.0</v>
      </c>
      <c r="G38" s="38">
        <v>0.2424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40.0</v>
      </c>
      <c r="E39" s="38">
        <v>0.082</v>
      </c>
      <c r="F39" s="10">
        <v>4.0</v>
      </c>
      <c r="G39" s="38">
        <v>0.0404</v>
      </c>
      <c r="H39" s="10">
        <v>0.0</v>
      </c>
      <c r="I39" s="38">
        <v>0.0</v>
      </c>
      <c r="J39" s="10" t="s">
        <v>40</v>
      </c>
      <c r="K39" s="10" t="s">
        <v>79</v>
      </c>
    </row>
    <row r="40">
      <c r="A40" s="10" t="s">
        <v>9</v>
      </c>
      <c r="D40" s="10">
        <v>208.0</v>
      </c>
      <c r="E40" s="38">
        <v>0.4262</v>
      </c>
      <c r="F40" s="10">
        <v>61.0</v>
      </c>
      <c r="G40" s="38">
        <v>0.6162</v>
      </c>
      <c r="H40" s="10">
        <v>28.0</v>
      </c>
      <c r="I40" s="38">
        <v>0.7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22.0</v>
      </c>
      <c r="E42" s="38">
        <v>0.0451</v>
      </c>
      <c r="F42" s="10">
        <v>7.0</v>
      </c>
      <c r="G42" s="38">
        <v>0.0707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50.0</v>
      </c>
      <c r="E43" s="38">
        <v>0.1025</v>
      </c>
      <c r="F43" s="10">
        <v>4.0</v>
      </c>
      <c r="G43" s="38">
        <v>0.0404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-0.01087129653</v>
      </c>
      <c r="I46" s="38">
        <v>-0.0109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134.0</v>
      </c>
      <c r="E5" s="38">
        <v>0.2746</v>
      </c>
      <c r="F5" s="10">
        <v>41.0</v>
      </c>
      <c r="G5" s="38">
        <v>0.4141</v>
      </c>
      <c r="H5" s="10">
        <v>14.0</v>
      </c>
      <c r="I5" s="38">
        <v>0.35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354.0</v>
      </c>
      <c r="E6" s="38">
        <v>0.7254</v>
      </c>
      <c r="F6" s="10">
        <v>58.0</v>
      </c>
      <c r="G6" s="38">
        <v>0.5859</v>
      </c>
      <c r="H6" s="10">
        <v>19.0</v>
      </c>
      <c r="I6" s="38">
        <v>0.475</v>
      </c>
      <c r="J6" s="10" t="s">
        <v>40</v>
      </c>
    </row>
    <row r="7">
      <c r="A7" s="10" t="s">
        <v>47</v>
      </c>
      <c r="D7" s="10">
        <v>356.0</v>
      </c>
      <c r="E7" s="38">
        <v>0.7295</v>
      </c>
      <c r="F7" s="10">
        <v>62.0</v>
      </c>
      <c r="G7" s="38">
        <v>0.6263</v>
      </c>
      <c r="H7" s="10">
        <v>27.0</v>
      </c>
      <c r="I7" s="38">
        <v>0.675</v>
      </c>
      <c r="J7" s="10" t="s">
        <v>40</v>
      </c>
      <c r="L7" s="10">
        <v>1.0</v>
      </c>
    </row>
    <row r="8">
      <c r="A8" s="10" t="s">
        <v>48</v>
      </c>
      <c r="D8" s="10">
        <v>132.0</v>
      </c>
      <c r="E8" s="38">
        <v>0.2705</v>
      </c>
      <c r="F8" s="10">
        <v>39.0</v>
      </c>
      <c r="G8" s="38">
        <v>0.3939</v>
      </c>
      <c r="H8" s="10">
        <v>6.0</v>
      </c>
      <c r="I8" s="38">
        <v>0.15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166.0</v>
      </c>
      <c r="E9" s="38">
        <v>0.3402</v>
      </c>
      <c r="F9" s="10">
        <v>39.0</v>
      </c>
      <c r="G9" s="38">
        <v>0.3939</v>
      </c>
      <c r="H9" s="10">
        <v>16.0</v>
      </c>
      <c r="I9" s="38">
        <v>0.4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42.0</v>
      </c>
      <c r="E11" s="38">
        <v>0.0861</v>
      </c>
      <c r="F11" s="10">
        <v>9.0</v>
      </c>
      <c r="G11" s="38">
        <v>0.0909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87.0</v>
      </c>
      <c r="E12" s="38">
        <v>0.1783</v>
      </c>
      <c r="F12" s="10">
        <v>31.0</v>
      </c>
      <c r="G12" s="38">
        <v>0.3131</v>
      </c>
      <c r="H12" s="10">
        <v>3.0</v>
      </c>
      <c r="I12" s="38">
        <v>0.075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119.0</v>
      </c>
      <c r="E13" s="38">
        <v>0.2439</v>
      </c>
      <c r="F13" s="10">
        <v>29.0</v>
      </c>
      <c r="G13" s="38">
        <v>0.2929</v>
      </c>
      <c r="H13" s="10">
        <v>3.0</v>
      </c>
      <c r="I13" s="38">
        <v>0.075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133.0</v>
      </c>
      <c r="E14" s="38">
        <v>0.2725</v>
      </c>
      <c r="F14" s="10">
        <v>35.0</v>
      </c>
      <c r="G14" s="38">
        <v>0.3535</v>
      </c>
      <c r="H14" s="10">
        <v>21.0</v>
      </c>
      <c r="I14" s="38">
        <v>0.525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169.0</v>
      </c>
      <c r="E15" s="38">
        <v>0.3463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49.0</v>
      </c>
      <c r="E18" s="38">
        <v>0.1004</v>
      </c>
      <c r="F18" s="10">
        <v>7.0</v>
      </c>
      <c r="G18" s="38">
        <v>0.0707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13.0</v>
      </c>
      <c r="E19" s="38">
        <v>0.0266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10.0</v>
      </c>
      <c r="E20" s="38">
        <v>0.0205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7.0</v>
      </c>
      <c r="G21" s="38">
        <v>0.0707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206.0</v>
      </c>
      <c r="E22" s="38">
        <v>0.4221</v>
      </c>
      <c r="F22" s="10">
        <v>42.0</v>
      </c>
      <c r="G22" s="38">
        <v>0.4242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226.0</v>
      </c>
      <c r="E23" s="38">
        <v>0.4631</v>
      </c>
      <c r="F23" s="10">
        <v>45.0</v>
      </c>
      <c r="G23" s="38">
        <v>0.4545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0.1803</v>
      </c>
      <c r="F24" s="10">
        <v>21.0</v>
      </c>
      <c r="G24" s="38">
        <v>0.2121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126.0</v>
      </c>
      <c r="E26" s="38">
        <v>0.2582</v>
      </c>
      <c r="F26" s="10">
        <v>19.0</v>
      </c>
      <c r="G26" s="38">
        <v>0.1919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304.0</v>
      </c>
      <c r="E27" s="38">
        <v>0.623</v>
      </c>
      <c r="F27" s="10">
        <v>72.0</v>
      </c>
      <c r="G27" s="38">
        <v>0.7273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154.0</v>
      </c>
      <c r="E28" s="38">
        <v>0.3156</v>
      </c>
      <c r="F28" s="10">
        <v>31.0</v>
      </c>
      <c r="G28" s="38">
        <v>0.3131</v>
      </c>
      <c r="H28" s="10">
        <v>4.0</v>
      </c>
      <c r="I28" s="38">
        <v>0.1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20.0</v>
      </c>
      <c r="E29" s="38">
        <v>0.041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132.0</v>
      </c>
      <c r="E32" s="38">
        <v>0.2705</v>
      </c>
      <c r="F32" s="10">
        <v>42.0</v>
      </c>
      <c r="G32" s="38">
        <v>0.4242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0.043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85.0</v>
      </c>
      <c r="E36" s="38">
        <v>0.1742</v>
      </c>
      <c r="F36" s="10">
        <v>11.0</v>
      </c>
      <c r="G36" s="38">
        <v>0.1111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319.0</v>
      </c>
      <c r="E37" s="38">
        <v>0.6537</v>
      </c>
      <c r="F37" s="10">
        <v>46.0</v>
      </c>
      <c r="G37" s="38">
        <v>0.4646</v>
      </c>
      <c r="H37" s="10">
        <v>23.0</v>
      </c>
      <c r="I37" s="38">
        <v>0.575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200.0</v>
      </c>
      <c r="E38" s="38">
        <v>0.4098</v>
      </c>
      <c r="F38" s="10">
        <v>43.0</v>
      </c>
      <c r="G38" s="38">
        <v>0.4343</v>
      </c>
      <c r="H38" s="10">
        <v>17.0</v>
      </c>
      <c r="I38" s="38">
        <v>0.425</v>
      </c>
      <c r="J38" s="10" t="s">
        <v>40</v>
      </c>
      <c r="K38" s="10" t="s">
        <v>79</v>
      </c>
    </row>
    <row r="39">
      <c r="A39" s="10" t="s">
        <v>78</v>
      </c>
      <c r="D39" s="10">
        <v>18.0</v>
      </c>
      <c r="E39" s="38">
        <v>0.0369</v>
      </c>
      <c r="F39" s="10">
        <v>2.0</v>
      </c>
      <c r="G39" s="38">
        <v>0.0202</v>
      </c>
      <c r="H39" s="10">
        <v>3.0</v>
      </c>
      <c r="I39" s="38">
        <v>0.075</v>
      </c>
      <c r="J39" s="10" t="s">
        <v>40</v>
      </c>
      <c r="K39" s="10" t="s">
        <v>43</v>
      </c>
    </row>
    <row r="40">
      <c r="A40" s="10" t="s">
        <v>9</v>
      </c>
      <c r="D40" s="10">
        <v>166.0</v>
      </c>
      <c r="E40" s="38">
        <v>0.3402</v>
      </c>
      <c r="F40" s="10">
        <v>55.0</v>
      </c>
      <c r="G40" s="38">
        <v>0.5556</v>
      </c>
      <c r="H40" s="10">
        <v>18.0</v>
      </c>
      <c r="I40" s="38">
        <v>0.45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43.0</v>
      </c>
      <c r="E42" s="38">
        <v>0.0881</v>
      </c>
      <c r="F42" s="10">
        <v>6.0</v>
      </c>
      <c r="G42" s="38">
        <v>0.0606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55.0</v>
      </c>
      <c r="E43" s="38">
        <v>0.1127</v>
      </c>
      <c r="F43" s="10">
        <v>10.0</v>
      </c>
      <c r="G43" s="38">
        <v>0.101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35.0</v>
      </c>
      <c r="E44" s="38">
        <v>0.0717</v>
      </c>
      <c r="F44" s="10">
        <v>3.0</v>
      </c>
      <c r="G44" s="38">
        <v>0.0303</v>
      </c>
      <c r="H44" s="10">
        <v>2.0</v>
      </c>
      <c r="I44" s="38">
        <v>0.05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3.0</v>
      </c>
      <c r="E45" s="38">
        <v>0.0061</v>
      </c>
      <c r="F45" s="10">
        <v>0.0</v>
      </c>
      <c r="G45" s="38">
        <v>0.0</v>
      </c>
      <c r="H45" s="10">
        <v>1.0</v>
      </c>
      <c r="I45" s="38">
        <v>0.025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0.002389791575</v>
      </c>
      <c r="I46" s="38">
        <v>0.0024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144.0</v>
      </c>
      <c r="E5" s="38">
        <v>0.2951</v>
      </c>
      <c r="F5" s="10">
        <v>46.0</v>
      </c>
      <c r="G5" s="38">
        <v>0.4646</v>
      </c>
      <c r="H5" s="10">
        <v>16.0</v>
      </c>
      <c r="I5" s="38">
        <v>0.4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344.0</v>
      </c>
      <c r="E6" s="38">
        <v>0.7049</v>
      </c>
      <c r="F6" s="10">
        <v>53.0</v>
      </c>
      <c r="G6" s="38">
        <v>0.5354</v>
      </c>
      <c r="H6" s="10">
        <v>17.0</v>
      </c>
      <c r="I6" s="38">
        <v>0.425</v>
      </c>
      <c r="J6" s="10" t="s">
        <v>40</v>
      </c>
    </row>
    <row r="7">
      <c r="A7" s="10" t="s">
        <v>47</v>
      </c>
      <c r="D7" s="10">
        <v>356.0</v>
      </c>
      <c r="E7" s="38">
        <v>0.7295</v>
      </c>
      <c r="F7" s="10">
        <v>62.0</v>
      </c>
      <c r="G7" s="38">
        <v>0.6263</v>
      </c>
      <c r="H7" s="10">
        <v>27.0</v>
      </c>
      <c r="I7" s="38">
        <v>0.675</v>
      </c>
      <c r="J7" s="10" t="s">
        <v>40</v>
      </c>
      <c r="L7" s="10">
        <v>1.0</v>
      </c>
    </row>
    <row r="8">
      <c r="A8" s="10" t="s">
        <v>48</v>
      </c>
      <c r="D8" s="10">
        <v>132.0</v>
      </c>
      <c r="E8" s="38">
        <v>0.2705</v>
      </c>
      <c r="F8" s="10">
        <v>39.0</v>
      </c>
      <c r="G8" s="38">
        <v>0.3939</v>
      </c>
      <c r="H8" s="10">
        <v>6.0</v>
      </c>
      <c r="I8" s="38">
        <v>0.15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167.0</v>
      </c>
      <c r="E9" s="38">
        <v>0.3422</v>
      </c>
      <c r="F9" s="10">
        <v>39.0</v>
      </c>
      <c r="G9" s="38">
        <v>0.3939</v>
      </c>
      <c r="H9" s="10">
        <v>13.0</v>
      </c>
      <c r="I9" s="38">
        <v>0.325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29.0</v>
      </c>
      <c r="E11" s="38">
        <v>0.0594</v>
      </c>
      <c r="F11" s="10">
        <v>10.0</v>
      </c>
      <c r="G11" s="38">
        <v>0.101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87.0</v>
      </c>
      <c r="E12" s="38">
        <v>0.1783</v>
      </c>
      <c r="F12" s="10">
        <v>31.0</v>
      </c>
      <c r="G12" s="38">
        <v>0.3131</v>
      </c>
      <c r="H12" s="10">
        <v>3.0</v>
      </c>
      <c r="I12" s="38">
        <v>0.075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119.0</v>
      </c>
      <c r="E13" s="38">
        <v>0.2439</v>
      </c>
      <c r="F13" s="10">
        <v>29.0</v>
      </c>
      <c r="G13" s="38">
        <v>0.2929</v>
      </c>
      <c r="H13" s="10">
        <v>3.0</v>
      </c>
      <c r="I13" s="38">
        <v>0.075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133.0</v>
      </c>
      <c r="E14" s="38">
        <v>0.2725</v>
      </c>
      <c r="F14" s="10">
        <v>35.0</v>
      </c>
      <c r="G14" s="38">
        <v>0.3535</v>
      </c>
      <c r="H14" s="10">
        <v>21.0</v>
      </c>
      <c r="I14" s="38">
        <v>0.525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169.0</v>
      </c>
      <c r="E15" s="38">
        <v>0.3463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4.0</v>
      </c>
      <c r="E16" s="38">
        <v>0.0082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20.0</v>
      </c>
      <c r="E18" s="38">
        <v>0.041</v>
      </c>
      <c r="F18" s="10">
        <v>1.0</v>
      </c>
      <c r="G18" s="38">
        <v>0.0101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73.0</v>
      </c>
      <c r="E19" s="38">
        <v>0.1496</v>
      </c>
      <c r="F19" s="10">
        <v>5.0</v>
      </c>
      <c r="G19" s="38">
        <v>0.0505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9.0</v>
      </c>
      <c r="E21" s="38">
        <v>0.0184</v>
      </c>
      <c r="F21" s="10">
        <v>1.0</v>
      </c>
      <c r="G21" s="38">
        <v>0.0101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207.0</v>
      </c>
      <c r="E22" s="38">
        <v>0.4242</v>
      </c>
      <c r="F22" s="10">
        <v>45.0</v>
      </c>
      <c r="G22" s="38">
        <v>0.4545</v>
      </c>
      <c r="H22" s="10">
        <v>27.0</v>
      </c>
      <c r="I22" s="38">
        <v>0.675</v>
      </c>
      <c r="J22" s="10" t="s">
        <v>40</v>
      </c>
    </row>
    <row r="23">
      <c r="A23" s="10" t="s">
        <v>64</v>
      </c>
      <c r="D23" s="10">
        <v>195.0</v>
      </c>
      <c r="E23" s="38">
        <v>0.3996</v>
      </c>
      <c r="F23" s="10">
        <v>37.0</v>
      </c>
      <c r="G23" s="38">
        <v>0.3737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81.0</v>
      </c>
      <c r="E24" s="38">
        <v>0.166</v>
      </c>
      <c r="F24" s="10">
        <v>28.0</v>
      </c>
      <c r="G24" s="38">
        <v>0.2828</v>
      </c>
      <c r="H24" s="10">
        <v>20.0</v>
      </c>
      <c r="I24" s="38">
        <v>0.5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39.0</v>
      </c>
      <c r="E25" s="38">
        <v>0.0799</v>
      </c>
      <c r="F25" s="10">
        <v>14.0</v>
      </c>
      <c r="G25" s="38">
        <v>0.1414</v>
      </c>
      <c r="H25" s="10">
        <v>0.0</v>
      </c>
      <c r="I25" s="38">
        <v>0.0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126.0</v>
      </c>
      <c r="E26" s="38">
        <v>0.2582</v>
      </c>
      <c r="F26" s="10">
        <v>19.0</v>
      </c>
      <c r="G26" s="38">
        <v>0.1919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304.0</v>
      </c>
      <c r="E27" s="38">
        <v>0.623</v>
      </c>
      <c r="F27" s="10">
        <v>72.0</v>
      </c>
      <c r="G27" s="38">
        <v>0.7273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142.0</v>
      </c>
      <c r="E28" s="38">
        <v>0.291</v>
      </c>
      <c r="F28" s="10">
        <v>22.0</v>
      </c>
      <c r="G28" s="38">
        <v>0.2222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15.0</v>
      </c>
      <c r="E29" s="38">
        <v>0.0307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121.0</v>
      </c>
      <c r="E32" s="38">
        <v>0.248</v>
      </c>
      <c r="F32" s="10">
        <v>27.0</v>
      </c>
      <c r="G32" s="38">
        <v>0.2727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16.0</v>
      </c>
      <c r="E33" s="38">
        <v>0.0328</v>
      </c>
      <c r="F33" s="10">
        <v>3.0</v>
      </c>
      <c r="G33" s="38">
        <v>0.0303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85.0</v>
      </c>
      <c r="E36" s="38">
        <v>0.1742</v>
      </c>
      <c r="F36" s="10">
        <v>11.0</v>
      </c>
      <c r="G36" s="38">
        <v>0.1111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300.0</v>
      </c>
      <c r="E37" s="38">
        <v>0.6148</v>
      </c>
      <c r="F37" s="10">
        <v>46.0</v>
      </c>
      <c r="G37" s="38">
        <v>0.4646</v>
      </c>
      <c r="H37" s="10">
        <v>22.0</v>
      </c>
      <c r="I37" s="38">
        <v>0.55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192.0</v>
      </c>
      <c r="E38" s="38">
        <v>0.3934</v>
      </c>
      <c r="F38" s="10">
        <v>30.0</v>
      </c>
      <c r="G38" s="38">
        <v>0.303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17.0</v>
      </c>
      <c r="E39" s="38">
        <v>0.0348</v>
      </c>
      <c r="F39" s="10">
        <v>2.0</v>
      </c>
      <c r="G39" s="38">
        <v>0.0202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182.0</v>
      </c>
      <c r="E40" s="38">
        <v>0.373</v>
      </c>
      <c r="F40" s="10">
        <v>54.0</v>
      </c>
      <c r="G40" s="38">
        <v>0.5455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0.0</v>
      </c>
      <c r="E41" s="38">
        <v>0.0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24.0</v>
      </c>
      <c r="E42" s="38">
        <v>0.0492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39.0</v>
      </c>
      <c r="E43" s="38">
        <v>0.0799</v>
      </c>
      <c r="F43" s="10">
        <v>9.0</v>
      </c>
      <c r="G43" s="38">
        <v>0.0909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30.0</v>
      </c>
      <c r="E44" s="38">
        <v>0.0615</v>
      </c>
      <c r="F44" s="10">
        <v>3.0</v>
      </c>
      <c r="G44" s="38">
        <v>0.0303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4.0</v>
      </c>
      <c r="E45" s="38">
        <v>0.0082</v>
      </c>
      <c r="F45" s="10">
        <v>0.0</v>
      </c>
      <c r="G45" s="38">
        <v>0.0</v>
      </c>
      <c r="H45" s="10">
        <v>1.0</v>
      </c>
      <c r="I45" s="38">
        <v>0.025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0.00790200032</v>
      </c>
      <c r="I46" s="38">
        <v>0.0079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0.85</v>
      </c>
    </row>
    <row r="50">
      <c r="A50" s="10" t="s">
        <v>87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150.0</v>
      </c>
      <c r="E5" s="38">
        <v>0.3074</v>
      </c>
      <c r="F5" s="10">
        <v>45.0</v>
      </c>
      <c r="G5" s="38">
        <v>0.4545</v>
      </c>
      <c r="H5" s="10">
        <v>17.0</v>
      </c>
      <c r="I5" s="38">
        <v>0.425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338.0</v>
      </c>
      <c r="E6" s="38">
        <v>0.6926</v>
      </c>
      <c r="F6" s="10">
        <v>54.0</v>
      </c>
      <c r="G6" s="38">
        <v>0.5455</v>
      </c>
      <c r="H6" s="10">
        <v>16.0</v>
      </c>
      <c r="I6" s="38">
        <v>0.4</v>
      </c>
      <c r="J6" s="10" t="s">
        <v>40</v>
      </c>
    </row>
    <row r="7">
      <c r="A7" s="10" t="s">
        <v>47</v>
      </c>
      <c r="D7" s="10">
        <v>303.0</v>
      </c>
      <c r="E7" s="38">
        <v>0.6209</v>
      </c>
      <c r="F7" s="10">
        <v>56.0</v>
      </c>
      <c r="G7" s="38">
        <v>0.5657</v>
      </c>
      <c r="H7" s="10">
        <v>23.0</v>
      </c>
      <c r="I7" s="38">
        <v>0.575</v>
      </c>
      <c r="J7" s="10" t="s">
        <v>40</v>
      </c>
      <c r="L7" s="10">
        <v>1.0</v>
      </c>
    </row>
    <row r="8">
      <c r="A8" s="10" t="s">
        <v>48</v>
      </c>
      <c r="D8" s="10">
        <v>185.0</v>
      </c>
      <c r="E8" s="38">
        <v>0.3791</v>
      </c>
      <c r="F8" s="10">
        <v>45.0</v>
      </c>
      <c r="G8" s="38">
        <v>0.4545</v>
      </c>
      <c r="H8" s="10">
        <v>10.0</v>
      </c>
      <c r="I8" s="38">
        <v>0.25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167.0</v>
      </c>
      <c r="E9" s="38">
        <v>0.3422</v>
      </c>
      <c r="F9" s="10">
        <v>39.0</v>
      </c>
      <c r="G9" s="38">
        <v>0.3939</v>
      </c>
      <c r="H9" s="10">
        <v>14.0</v>
      </c>
      <c r="I9" s="38">
        <v>0.35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20.0</v>
      </c>
      <c r="E11" s="38">
        <v>0.041</v>
      </c>
      <c r="F11" s="10">
        <v>9.0</v>
      </c>
      <c r="G11" s="38">
        <v>0.0909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99.0</v>
      </c>
      <c r="E12" s="38">
        <v>0.2029</v>
      </c>
      <c r="F12" s="10">
        <v>30.0</v>
      </c>
      <c r="G12" s="38">
        <v>0.303</v>
      </c>
      <c r="H12" s="10">
        <v>4.0</v>
      </c>
      <c r="I12" s="38">
        <v>0.1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124.0</v>
      </c>
      <c r="E13" s="38">
        <v>0.2541</v>
      </c>
      <c r="F13" s="10">
        <v>33.0</v>
      </c>
      <c r="G13" s="38">
        <v>0.3333</v>
      </c>
      <c r="H13" s="10">
        <v>4.0</v>
      </c>
      <c r="I13" s="38">
        <v>0.1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142.0</v>
      </c>
      <c r="E14" s="38">
        <v>0.291</v>
      </c>
      <c r="F14" s="10">
        <v>30.0</v>
      </c>
      <c r="G14" s="38">
        <v>0.303</v>
      </c>
      <c r="H14" s="10">
        <v>24.0</v>
      </c>
      <c r="I14" s="38">
        <v>0.6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170.0</v>
      </c>
      <c r="E15" s="38">
        <v>0.3484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6.0</v>
      </c>
      <c r="E16" s="38">
        <v>0.0123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95.0</v>
      </c>
      <c r="E18" s="38">
        <v>0.1947</v>
      </c>
      <c r="F18" s="10">
        <v>8.0</v>
      </c>
      <c r="G18" s="38">
        <v>0.0808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12.0</v>
      </c>
      <c r="E19" s="38">
        <v>0.0246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24.0</v>
      </c>
      <c r="E20" s="38">
        <v>0.0492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8.0</v>
      </c>
      <c r="G21" s="38">
        <v>0.0808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194.0</v>
      </c>
      <c r="E22" s="38">
        <v>0.3975</v>
      </c>
      <c r="F22" s="10">
        <v>44.0</v>
      </c>
      <c r="G22" s="38">
        <v>0.4444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212.0</v>
      </c>
      <c r="E23" s="38">
        <v>0.4344</v>
      </c>
      <c r="F23" s="10">
        <v>40.0</v>
      </c>
      <c r="G23" s="38">
        <v>0.404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72.0</v>
      </c>
      <c r="E24" s="38">
        <v>0.1475</v>
      </c>
      <c r="F24" s="10">
        <v>24.0</v>
      </c>
      <c r="G24" s="38">
        <v>0.2424</v>
      </c>
      <c r="H24" s="10">
        <v>9.0</v>
      </c>
      <c r="I24" s="38">
        <v>0.225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39.0</v>
      </c>
      <c r="E25" s="38">
        <v>0.0799</v>
      </c>
      <c r="F25" s="10">
        <v>14.0</v>
      </c>
      <c r="G25" s="38">
        <v>0.1414</v>
      </c>
      <c r="H25" s="10">
        <v>3.0</v>
      </c>
      <c r="I25" s="38">
        <v>0.075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131.0</v>
      </c>
      <c r="E26" s="38">
        <v>0.2684</v>
      </c>
      <c r="F26" s="10">
        <v>26.0</v>
      </c>
      <c r="G26" s="38">
        <v>0.2626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307.0</v>
      </c>
      <c r="E27" s="38">
        <v>0.6291</v>
      </c>
      <c r="F27" s="10">
        <v>70.0</v>
      </c>
      <c r="G27" s="38">
        <v>0.7071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144.0</v>
      </c>
      <c r="E28" s="38">
        <v>0.2951</v>
      </c>
      <c r="F28" s="10">
        <v>25.0</v>
      </c>
      <c r="G28" s="38">
        <v>0.2525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8.0</v>
      </c>
      <c r="E29" s="38">
        <v>0.0164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109.0</v>
      </c>
      <c r="E32" s="38">
        <v>0.2234</v>
      </c>
      <c r="F32" s="10">
        <v>25.0</v>
      </c>
      <c r="G32" s="38">
        <v>0.2525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8.0</v>
      </c>
      <c r="E33" s="38">
        <v>0.0164</v>
      </c>
      <c r="F33" s="10">
        <v>4.0</v>
      </c>
      <c r="G33" s="38">
        <v>0.0404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107.0</v>
      </c>
      <c r="E36" s="38">
        <v>0.2193</v>
      </c>
      <c r="F36" s="10">
        <v>15.0</v>
      </c>
      <c r="G36" s="38">
        <v>0.1515</v>
      </c>
      <c r="H36" s="10">
        <v>1.0</v>
      </c>
      <c r="I36" s="38">
        <v>0.025</v>
      </c>
      <c r="J36" s="10" t="s">
        <v>40</v>
      </c>
      <c r="K36" s="10" t="s">
        <v>82</v>
      </c>
      <c r="L36" s="10">
        <v>1.0</v>
      </c>
    </row>
    <row r="37">
      <c r="A37" s="10" t="s">
        <v>8</v>
      </c>
      <c r="D37" s="10">
        <v>292.0</v>
      </c>
      <c r="E37" s="38">
        <v>0.5984</v>
      </c>
      <c r="F37" s="10">
        <v>43.0</v>
      </c>
      <c r="G37" s="38">
        <v>0.4343</v>
      </c>
      <c r="H37" s="10">
        <v>25.0</v>
      </c>
      <c r="I37" s="38">
        <v>0.625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188.0</v>
      </c>
      <c r="E38" s="38">
        <v>0.3852</v>
      </c>
      <c r="F38" s="10">
        <v>32.0</v>
      </c>
      <c r="G38" s="38">
        <v>0.3232</v>
      </c>
      <c r="H38" s="10">
        <v>10.0</v>
      </c>
      <c r="I38" s="38">
        <v>0.25</v>
      </c>
      <c r="J38" s="10" t="s">
        <v>40</v>
      </c>
      <c r="K38" s="10" t="s">
        <v>43</v>
      </c>
    </row>
    <row r="39">
      <c r="A39" s="10" t="s">
        <v>78</v>
      </c>
      <c r="D39" s="10">
        <v>19.0</v>
      </c>
      <c r="E39" s="38">
        <v>0.0389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188.0</v>
      </c>
      <c r="E40" s="38">
        <v>0.3852</v>
      </c>
      <c r="F40" s="10">
        <v>56.0</v>
      </c>
      <c r="G40" s="38">
        <v>0.5657</v>
      </c>
      <c r="H40" s="10">
        <v>16.0</v>
      </c>
      <c r="I40" s="38">
        <v>0.4</v>
      </c>
      <c r="J40" s="10" t="s">
        <v>40</v>
      </c>
    </row>
    <row r="41">
      <c r="A41" s="10" t="s">
        <v>6</v>
      </c>
      <c r="D41" s="10">
        <v>1.0</v>
      </c>
      <c r="E41" s="38">
        <v>0.002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12.0</v>
      </c>
      <c r="E42" s="38">
        <v>0.0246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39.0</v>
      </c>
      <c r="E43" s="38">
        <v>0.0799</v>
      </c>
      <c r="F43" s="10">
        <v>14.0</v>
      </c>
      <c r="G43" s="38">
        <v>0.1414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32.0</v>
      </c>
      <c r="E44" s="38">
        <v>0.0656</v>
      </c>
      <c r="F44" s="10">
        <v>2.0</v>
      </c>
      <c r="G44" s="38">
        <v>0.0202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1.0</v>
      </c>
      <c r="E45" s="38">
        <v>0.002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0.003748479912</v>
      </c>
      <c r="I46" s="38">
        <v>0.0037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7.0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150.0</v>
      </c>
      <c r="E5" s="38">
        <v>0.3074</v>
      </c>
      <c r="F5" s="10">
        <v>45.0</v>
      </c>
      <c r="G5" s="38">
        <v>0.4545</v>
      </c>
      <c r="H5" s="10">
        <v>18.0</v>
      </c>
      <c r="I5" s="38">
        <v>0.45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338.0</v>
      </c>
      <c r="E6" s="38">
        <v>0.6926</v>
      </c>
      <c r="F6" s="10">
        <v>54.0</v>
      </c>
      <c r="G6" s="38">
        <v>0.5455</v>
      </c>
      <c r="H6" s="10">
        <v>15.0</v>
      </c>
      <c r="I6" s="38">
        <v>0.375</v>
      </c>
      <c r="J6" s="10" t="s">
        <v>40</v>
      </c>
    </row>
    <row r="7">
      <c r="A7" s="10" t="s">
        <v>47</v>
      </c>
      <c r="D7" s="10">
        <v>299.0</v>
      </c>
      <c r="E7" s="38">
        <v>0.6127</v>
      </c>
      <c r="F7" s="10">
        <v>60.0</v>
      </c>
      <c r="G7" s="38">
        <v>0.6061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189.0</v>
      </c>
      <c r="E8" s="38">
        <v>0.3873</v>
      </c>
      <c r="F8" s="10">
        <v>41.0</v>
      </c>
      <c r="G8" s="38">
        <v>0.4141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167.0</v>
      </c>
      <c r="E9" s="38">
        <v>0.3422</v>
      </c>
      <c r="F9" s="10">
        <v>39.0</v>
      </c>
      <c r="G9" s="38">
        <v>0.3939</v>
      </c>
      <c r="H9" s="10">
        <v>13.0</v>
      </c>
      <c r="I9" s="38">
        <v>0.325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28.0</v>
      </c>
      <c r="E11" s="38">
        <v>0.0574</v>
      </c>
      <c r="F11" s="10">
        <v>9.0</v>
      </c>
      <c r="G11" s="38">
        <v>0.0909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87.0</v>
      </c>
      <c r="E12" s="38">
        <v>0.1783</v>
      </c>
      <c r="F12" s="10">
        <v>30.0</v>
      </c>
      <c r="G12" s="38">
        <v>0.303</v>
      </c>
      <c r="H12" s="10">
        <v>7.0</v>
      </c>
      <c r="I12" s="38">
        <v>0.175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169.0</v>
      </c>
      <c r="E13" s="38">
        <v>0.3463</v>
      </c>
      <c r="F13" s="10">
        <v>35.0</v>
      </c>
      <c r="G13" s="38">
        <v>0.3535</v>
      </c>
      <c r="H13" s="10">
        <v>10.0</v>
      </c>
      <c r="I13" s="38">
        <v>0.25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114.0</v>
      </c>
      <c r="E14" s="38">
        <v>0.2336</v>
      </c>
      <c r="F14" s="10">
        <v>28.0</v>
      </c>
      <c r="G14" s="38">
        <v>0.2828</v>
      </c>
      <c r="H14" s="10">
        <v>19.0</v>
      </c>
      <c r="I14" s="38">
        <v>0.475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173.0</v>
      </c>
      <c r="E15" s="38">
        <v>0.3545</v>
      </c>
      <c r="F15" s="10">
        <v>54.0</v>
      </c>
      <c r="G15" s="38">
        <v>0.5455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6.0</v>
      </c>
      <c r="E16" s="38">
        <v>0.0123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3.0</v>
      </c>
      <c r="E18" s="38">
        <v>0.0061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236.0</v>
      </c>
      <c r="E19" s="38">
        <v>0.4836</v>
      </c>
      <c r="F19" s="10">
        <v>41.0</v>
      </c>
      <c r="G19" s="38">
        <v>0.4141</v>
      </c>
      <c r="H19" s="10">
        <v>5.0</v>
      </c>
      <c r="I19" s="38">
        <v>0.125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2.0</v>
      </c>
      <c r="E20" s="38">
        <v>0.0041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45.0</v>
      </c>
      <c r="E21" s="38">
        <v>0.0922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194.0</v>
      </c>
      <c r="E22" s="38">
        <v>0.3975</v>
      </c>
      <c r="F22" s="10">
        <v>44.0</v>
      </c>
      <c r="G22" s="38">
        <v>0.4444</v>
      </c>
      <c r="H22" s="10">
        <v>18.0</v>
      </c>
      <c r="I22" s="38">
        <v>0.45</v>
      </c>
      <c r="J22" s="10" t="s">
        <v>40</v>
      </c>
    </row>
    <row r="23">
      <c r="A23" s="10" t="s">
        <v>64</v>
      </c>
      <c r="D23" s="10">
        <v>212.0</v>
      </c>
      <c r="E23" s="38">
        <v>0.4344</v>
      </c>
      <c r="F23" s="10">
        <v>40.0</v>
      </c>
      <c r="G23" s="38">
        <v>0.404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72.0</v>
      </c>
      <c r="E24" s="38">
        <v>0.1475</v>
      </c>
      <c r="F24" s="10">
        <v>24.0</v>
      </c>
      <c r="G24" s="38">
        <v>0.2424</v>
      </c>
      <c r="H24" s="10">
        <v>11.0</v>
      </c>
      <c r="I24" s="38">
        <v>0.275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39.0</v>
      </c>
      <c r="E25" s="38">
        <v>0.0799</v>
      </c>
      <c r="F25" s="10">
        <v>14.0</v>
      </c>
      <c r="G25" s="38">
        <v>0.1414</v>
      </c>
      <c r="H25" s="10">
        <v>3.0</v>
      </c>
      <c r="I25" s="38">
        <v>0.075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132.0</v>
      </c>
      <c r="E26" s="38">
        <v>0.2705</v>
      </c>
      <c r="F26" s="10">
        <v>31.0</v>
      </c>
      <c r="G26" s="38">
        <v>0.3131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307.0</v>
      </c>
      <c r="E27" s="38">
        <v>0.6291</v>
      </c>
      <c r="F27" s="10">
        <v>66.0</v>
      </c>
      <c r="G27" s="38">
        <v>0.6667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144.0</v>
      </c>
      <c r="E28" s="38">
        <v>0.2951</v>
      </c>
      <c r="F28" s="10">
        <v>25.0</v>
      </c>
      <c r="G28" s="38">
        <v>0.2525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8.0</v>
      </c>
      <c r="E29" s="38">
        <v>0.0164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109.0</v>
      </c>
      <c r="E32" s="38">
        <v>0.2234</v>
      </c>
      <c r="F32" s="10">
        <v>25.0</v>
      </c>
      <c r="G32" s="38">
        <v>0.2525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8.0</v>
      </c>
      <c r="E33" s="38">
        <v>0.0164</v>
      </c>
      <c r="F33" s="10">
        <v>4.0</v>
      </c>
      <c r="G33" s="38">
        <v>0.0404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91.0</v>
      </c>
      <c r="E36" s="38">
        <v>0.1865</v>
      </c>
      <c r="F36" s="10">
        <v>12.0</v>
      </c>
      <c r="G36" s="38">
        <v>0.1212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295.0</v>
      </c>
      <c r="E37" s="38">
        <v>0.6045</v>
      </c>
      <c r="F37" s="10">
        <v>42.0</v>
      </c>
      <c r="G37" s="38">
        <v>0.4242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189.0</v>
      </c>
      <c r="E38" s="38">
        <v>0.3873</v>
      </c>
      <c r="F38" s="10">
        <v>32.0</v>
      </c>
      <c r="G38" s="38">
        <v>0.3232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16.0</v>
      </c>
      <c r="E39" s="38">
        <v>0.0328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184.0</v>
      </c>
      <c r="E40" s="38">
        <v>0.377</v>
      </c>
      <c r="F40" s="10">
        <v>56.0</v>
      </c>
      <c r="G40" s="38">
        <v>0.5657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1.0</v>
      </c>
      <c r="E41" s="38">
        <v>0.002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13.0</v>
      </c>
      <c r="E42" s="38">
        <v>0.0266</v>
      </c>
      <c r="F42" s="10">
        <v>5.0</v>
      </c>
      <c r="G42" s="38">
        <v>0.0505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42.0</v>
      </c>
      <c r="E43" s="38">
        <v>0.0861</v>
      </c>
      <c r="F43" s="10">
        <v>14.0</v>
      </c>
      <c r="G43" s="38">
        <v>0.1414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25.0</v>
      </c>
      <c r="E44" s="38">
        <v>0.0512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1.0</v>
      </c>
      <c r="E45" s="38">
        <v>0.002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0.001728728945</v>
      </c>
      <c r="I46" s="38">
        <v>0.0017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157.0</v>
      </c>
      <c r="E5" s="38">
        <v>0.3217</v>
      </c>
      <c r="F5" s="10">
        <v>45.0</v>
      </c>
      <c r="G5" s="38">
        <v>0.4545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331.0</v>
      </c>
      <c r="E6" s="38">
        <v>0.6783</v>
      </c>
      <c r="F6" s="10">
        <v>54.0</v>
      </c>
      <c r="G6" s="38">
        <v>0.5455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310.0</v>
      </c>
      <c r="E7" s="38">
        <v>0.6352</v>
      </c>
      <c r="F7" s="10">
        <v>61.0</v>
      </c>
      <c r="G7" s="38">
        <v>0.6162</v>
      </c>
      <c r="H7" s="10">
        <v>25.0</v>
      </c>
      <c r="I7" s="38">
        <v>0.625</v>
      </c>
      <c r="J7" s="10" t="s">
        <v>40</v>
      </c>
      <c r="L7" s="10">
        <v>1.0</v>
      </c>
    </row>
    <row r="8">
      <c r="A8" s="10" t="s">
        <v>48</v>
      </c>
      <c r="D8" s="10">
        <v>178.0</v>
      </c>
      <c r="E8" s="38">
        <v>0.3648</v>
      </c>
      <c r="F8" s="10">
        <v>40.0</v>
      </c>
      <c r="G8" s="38">
        <v>0.404</v>
      </c>
      <c r="H8" s="10">
        <v>8.0</v>
      </c>
      <c r="I8" s="38">
        <v>0.2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165.0</v>
      </c>
      <c r="E9" s="38">
        <v>0.3381</v>
      </c>
      <c r="F9" s="10">
        <v>38.0</v>
      </c>
      <c r="G9" s="38">
        <v>0.3838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29.0</v>
      </c>
      <c r="E11" s="38">
        <v>0.0594</v>
      </c>
      <c r="F11" s="10">
        <v>5.0</v>
      </c>
      <c r="G11" s="38">
        <v>0.0505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140.0</v>
      </c>
      <c r="E12" s="38">
        <v>0.2869</v>
      </c>
      <c r="F12" s="10">
        <v>48.0</v>
      </c>
      <c r="G12" s="38">
        <v>0.4848</v>
      </c>
      <c r="H12" s="10">
        <v>14.0</v>
      </c>
      <c r="I12" s="38">
        <v>0.35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169.0</v>
      </c>
      <c r="E13" s="38">
        <v>0.3463</v>
      </c>
      <c r="F13" s="10">
        <v>35.0</v>
      </c>
      <c r="G13" s="38">
        <v>0.3535</v>
      </c>
      <c r="H13" s="10">
        <v>10.0</v>
      </c>
      <c r="I13" s="38">
        <v>0.25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127.0</v>
      </c>
      <c r="E14" s="38">
        <v>0.2602</v>
      </c>
      <c r="F14" s="10">
        <v>30.0</v>
      </c>
      <c r="G14" s="38">
        <v>0.303</v>
      </c>
      <c r="H14" s="10">
        <v>18.0</v>
      </c>
      <c r="I14" s="38">
        <v>0.45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200.0</v>
      </c>
      <c r="E15" s="38">
        <v>0.4098</v>
      </c>
      <c r="F15" s="10">
        <v>59.0</v>
      </c>
      <c r="G15" s="38">
        <v>0.596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6.0</v>
      </c>
      <c r="E16" s="38">
        <v>0.0123</v>
      </c>
      <c r="F16" s="10">
        <v>0.0</v>
      </c>
      <c r="G16" s="38">
        <v>0.0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1.0</v>
      </c>
      <c r="E17" s="38">
        <v>0.002</v>
      </c>
      <c r="F17" s="10">
        <v>0.0</v>
      </c>
      <c r="G17" s="38">
        <v>0.0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22.0</v>
      </c>
      <c r="E18" s="38">
        <v>0.0451</v>
      </c>
      <c r="F18" s="10">
        <v>6.0</v>
      </c>
      <c r="G18" s="38">
        <v>0.0606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45.0</v>
      </c>
      <c r="E19" s="38">
        <v>0.0922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2.0</v>
      </c>
      <c r="E20" s="38">
        <v>0.0041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10.0</v>
      </c>
      <c r="E21" s="38">
        <v>0.0205</v>
      </c>
      <c r="F21" s="10">
        <v>6.0</v>
      </c>
      <c r="G21" s="38">
        <v>0.0606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227.0</v>
      </c>
      <c r="E22" s="38">
        <v>0.4652</v>
      </c>
      <c r="F22" s="10">
        <v>47.0</v>
      </c>
      <c r="G22" s="38">
        <v>0.4747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217.0</v>
      </c>
      <c r="E23" s="38">
        <v>0.4447</v>
      </c>
      <c r="F23" s="10">
        <v>46.0</v>
      </c>
      <c r="G23" s="38">
        <v>0.4646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136.0</v>
      </c>
      <c r="E24" s="38">
        <v>0.2787</v>
      </c>
      <c r="F24" s="10">
        <v>33.0</v>
      </c>
      <c r="G24" s="38">
        <v>0.3333</v>
      </c>
      <c r="H24" s="10">
        <v>17.0</v>
      </c>
      <c r="I24" s="38">
        <v>0.425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97.0</v>
      </c>
      <c r="E25" s="38">
        <v>0.1988</v>
      </c>
      <c r="F25" s="10">
        <v>31.0</v>
      </c>
      <c r="G25" s="38">
        <v>0.3131</v>
      </c>
      <c r="H25" s="10">
        <v>12.0</v>
      </c>
      <c r="I25" s="38">
        <v>0.3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189.0</v>
      </c>
      <c r="E26" s="38">
        <v>0.3873</v>
      </c>
      <c r="F26" s="10">
        <v>38.0</v>
      </c>
      <c r="G26" s="38">
        <v>0.3838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242.0</v>
      </c>
      <c r="E27" s="38">
        <v>0.4959</v>
      </c>
      <c r="F27" s="10">
        <v>57.0</v>
      </c>
      <c r="G27" s="38">
        <v>0.5758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117.0</v>
      </c>
      <c r="E28" s="38">
        <v>0.2398</v>
      </c>
      <c r="F28" s="10">
        <v>16.0</v>
      </c>
      <c r="G28" s="38">
        <v>0.1616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6.0</v>
      </c>
      <c r="E29" s="38">
        <v>0.0123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101.0</v>
      </c>
      <c r="E32" s="38">
        <v>0.207</v>
      </c>
      <c r="F32" s="10">
        <v>23.0</v>
      </c>
      <c r="G32" s="38">
        <v>0.2323</v>
      </c>
      <c r="H32" s="10">
        <v>16.0</v>
      </c>
      <c r="I32" s="38">
        <v>0.4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6.0</v>
      </c>
      <c r="E33" s="38">
        <v>0.0123</v>
      </c>
      <c r="F33" s="10">
        <v>2.0</v>
      </c>
      <c r="G33" s="38">
        <v>0.0202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80.0</v>
      </c>
      <c r="E36" s="38">
        <v>0.1639</v>
      </c>
      <c r="F36" s="10">
        <v>11.0</v>
      </c>
      <c r="G36" s="38">
        <v>0.1111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294.0</v>
      </c>
      <c r="E37" s="38">
        <v>0.6025</v>
      </c>
      <c r="F37" s="10">
        <v>44.0</v>
      </c>
      <c r="G37" s="38">
        <v>0.4444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157.0</v>
      </c>
      <c r="E38" s="38">
        <v>0.3217</v>
      </c>
      <c r="F38" s="10">
        <v>23.0</v>
      </c>
      <c r="G38" s="38">
        <v>0.2323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0.0</v>
      </c>
      <c r="G39" s="38">
        <v>0.0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188.0</v>
      </c>
      <c r="E40" s="38">
        <v>0.3852</v>
      </c>
      <c r="F40" s="10">
        <v>56.0</v>
      </c>
      <c r="G40" s="38">
        <v>0.5657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2.0</v>
      </c>
      <c r="E41" s="38">
        <v>0.0041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14.0</v>
      </c>
      <c r="E42" s="38">
        <v>0.0287</v>
      </c>
      <c r="F42" s="10">
        <v>6.0</v>
      </c>
      <c r="G42" s="38">
        <v>0.0606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33.0</v>
      </c>
      <c r="E43" s="38">
        <v>0.0676</v>
      </c>
      <c r="F43" s="10">
        <v>8.0</v>
      </c>
      <c r="G43" s="38">
        <v>0.0808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19.0</v>
      </c>
      <c r="E44" s="38">
        <v>0.0389</v>
      </c>
      <c r="F44" s="10">
        <v>0.0</v>
      </c>
      <c r="G44" s="38">
        <v>0.0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2.0</v>
      </c>
      <c r="E45" s="38">
        <v>0.0041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-0.004870343155</v>
      </c>
      <c r="I46" s="38">
        <v>-0.0049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7.0</v>
      </c>
    </row>
    <row r="3">
      <c r="A3" s="10" t="s">
        <v>42</v>
      </c>
      <c r="B3" s="10">
        <v>0.0</v>
      </c>
      <c r="C3" s="38">
        <v>0.0</v>
      </c>
      <c r="D3" s="10">
        <v>230.0</v>
      </c>
      <c r="E3" s="38">
        <v>0.4713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160.0</v>
      </c>
      <c r="E5" s="38">
        <v>0.3279</v>
      </c>
      <c r="F5" s="10">
        <v>45.0</v>
      </c>
      <c r="G5" s="38">
        <v>0.4545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328.0</v>
      </c>
      <c r="E6" s="38">
        <v>0.6721</v>
      </c>
      <c r="F6" s="10">
        <v>54.0</v>
      </c>
      <c r="G6" s="38">
        <v>0.5455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289.0</v>
      </c>
      <c r="E7" s="38">
        <v>0.5922</v>
      </c>
      <c r="F7" s="10">
        <v>50.0</v>
      </c>
      <c r="G7" s="38">
        <v>0.5051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199.0</v>
      </c>
      <c r="E8" s="38">
        <v>0.4078</v>
      </c>
      <c r="F8" s="10">
        <v>51.0</v>
      </c>
      <c r="G8" s="38">
        <v>0.5152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170.0</v>
      </c>
      <c r="E9" s="38">
        <v>0.3484</v>
      </c>
      <c r="F9" s="10">
        <v>33.0</v>
      </c>
      <c r="G9" s="38">
        <v>0.3333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0.0902</v>
      </c>
      <c r="F11" s="10">
        <v>8.0</v>
      </c>
      <c r="G11" s="38">
        <v>0.0808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138.0</v>
      </c>
      <c r="E12" s="38">
        <v>0.2828</v>
      </c>
      <c r="F12" s="10">
        <v>39.0</v>
      </c>
      <c r="G12" s="38">
        <v>0.3939</v>
      </c>
      <c r="H12" s="10">
        <v>10.0</v>
      </c>
      <c r="I12" s="38">
        <v>0.25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174.0</v>
      </c>
      <c r="E13" s="38">
        <v>0.3566</v>
      </c>
      <c r="F13" s="10">
        <v>35.0</v>
      </c>
      <c r="G13" s="38">
        <v>0.3535</v>
      </c>
      <c r="H13" s="10">
        <v>11.0</v>
      </c>
      <c r="I13" s="38">
        <v>0.275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127.0</v>
      </c>
      <c r="E14" s="38">
        <v>0.2602</v>
      </c>
      <c r="F14" s="10">
        <v>31.0</v>
      </c>
      <c r="G14" s="38">
        <v>0.3131</v>
      </c>
      <c r="H14" s="10">
        <v>17.0</v>
      </c>
      <c r="I14" s="38">
        <v>0.425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192.0</v>
      </c>
      <c r="E15" s="38">
        <v>0.3934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88.0</v>
      </c>
      <c r="E16" s="38">
        <v>0.1803</v>
      </c>
      <c r="F16" s="10">
        <v>11.0</v>
      </c>
      <c r="G16" s="38">
        <v>0.1111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30.0</v>
      </c>
      <c r="E17" s="38">
        <v>0.0615</v>
      </c>
      <c r="F17" s="10">
        <v>5.0</v>
      </c>
      <c r="G17" s="38">
        <v>0.0505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25.0</v>
      </c>
      <c r="E18" s="38">
        <v>0.0512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36.0</v>
      </c>
      <c r="E19" s="38">
        <v>0.0738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6.0</v>
      </c>
      <c r="E21" s="38">
        <v>0.0123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228.0</v>
      </c>
      <c r="E22" s="38">
        <v>0.4672</v>
      </c>
      <c r="F22" s="10">
        <v>52.0</v>
      </c>
      <c r="G22" s="38">
        <v>0.5253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209.0</v>
      </c>
      <c r="E23" s="38">
        <v>0.4283</v>
      </c>
      <c r="F23" s="10">
        <v>35.0</v>
      </c>
      <c r="G23" s="38">
        <v>0.3535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97.0</v>
      </c>
      <c r="E24" s="38">
        <v>0.1988</v>
      </c>
      <c r="F24" s="10">
        <v>15.0</v>
      </c>
      <c r="G24" s="38">
        <v>0.1515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74.0</v>
      </c>
      <c r="E25" s="38">
        <v>0.1516</v>
      </c>
      <c r="F25" s="10">
        <v>26.0</v>
      </c>
      <c r="G25" s="38">
        <v>0.2626</v>
      </c>
      <c r="H25" s="10">
        <v>6.0</v>
      </c>
      <c r="I25" s="38">
        <v>0.15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181.0</v>
      </c>
      <c r="E26" s="38">
        <v>0.3709</v>
      </c>
      <c r="F26" s="10">
        <v>32.0</v>
      </c>
      <c r="G26" s="38">
        <v>0.3232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260.0</v>
      </c>
      <c r="E27" s="38">
        <v>0.5328</v>
      </c>
      <c r="F27" s="10">
        <v>64.0</v>
      </c>
      <c r="G27" s="38">
        <v>0.6465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124.0</v>
      </c>
      <c r="E28" s="38">
        <v>0.2541</v>
      </c>
      <c r="F28" s="10">
        <v>23.0</v>
      </c>
      <c r="G28" s="38">
        <v>0.2323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17.0</v>
      </c>
      <c r="E29" s="38">
        <v>0.0348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116.0</v>
      </c>
      <c r="E30" s="38">
        <v>0.2377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11.0</v>
      </c>
      <c r="E31" s="38">
        <v>0.0225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113.0</v>
      </c>
      <c r="E32" s="38">
        <v>0.2316</v>
      </c>
      <c r="F32" s="10">
        <v>27.0</v>
      </c>
      <c r="G32" s="38">
        <v>0.2727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17.0</v>
      </c>
      <c r="E33" s="38">
        <v>0.0348</v>
      </c>
      <c r="F33" s="10">
        <v>3.0</v>
      </c>
      <c r="G33" s="38">
        <v>0.0303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121.0</v>
      </c>
      <c r="E34" s="38">
        <v>0.248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11.0</v>
      </c>
      <c r="E35" s="38">
        <v>0.0225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85.0</v>
      </c>
      <c r="E36" s="38">
        <v>0.1742</v>
      </c>
      <c r="F36" s="10">
        <v>15.0</v>
      </c>
      <c r="G36" s="38">
        <v>0.1515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298.0</v>
      </c>
      <c r="E37" s="38">
        <v>0.6107</v>
      </c>
      <c r="F37" s="10">
        <v>48.0</v>
      </c>
      <c r="G37" s="38">
        <v>0.4848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173.0</v>
      </c>
      <c r="E38" s="38">
        <v>0.3545</v>
      </c>
      <c r="F38" s="10">
        <v>36.0</v>
      </c>
      <c r="G38" s="38">
        <v>0.3636</v>
      </c>
      <c r="H38" s="10">
        <v>10.0</v>
      </c>
      <c r="I38" s="38">
        <v>0.25</v>
      </c>
      <c r="J38" s="10" t="s">
        <v>40</v>
      </c>
      <c r="K38" s="10" t="s">
        <v>43</v>
      </c>
    </row>
    <row r="39">
      <c r="A39" s="10" t="s">
        <v>78</v>
      </c>
      <c r="D39" s="10">
        <v>26.0</v>
      </c>
      <c r="E39" s="38">
        <v>0.0533</v>
      </c>
      <c r="F39" s="10">
        <v>6.0</v>
      </c>
      <c r="G39" s="38">
        <v>0.0606</v>
      </c>
      <c r="H39" s="10">
        <v>0.0</v>
      </c>
      <c r="I39" s="38">
        <v>0.0</v>
      </c>
      <c r="J39" s="10" t="s">
        <v>40</v>
      </c>
      <c r="K39" s="10" t="s">
        <v>79</v>
      </c>
    </row>
    <row r="40">
      <c r="A40" s="10" t="s">
        <v>9</v>
      </c>
      <c r="D40" s="10">
        <v>189.0</v>
      </c>
      <c r="E40" s="38">
        <v>0.3873</v>
      </c>
      <c r="F40" s="10">
        <v>53.0</v>
      </c>
      <c r="G40" s="38">
        <v>0.5354</v>
      </c>
      <c r="H40" s="10">
        <v>21.0</v>
      </c>
      <c r="I40" s="38">
        <v>0.525</v>
      </c>
      <c r="J40" s="10" t="s">
        <v>40</v>
      </c>
    </row>
    <row r="41">
      <c r="A41" s="10" t="s">
        <v>6</v>
      </c>
      <c r="D41" s="10">
        <v>2.0</v>
      </c>
      <c r="E41" s="38">
        <v>0.0041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35.0</v>
      </c>
      <c r="E42" s="38">
        <v>0.0717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50.0</v>
      </c>
      <c r="E43" s="38">
        <v>0.1025</v>
      </c>
      <c r="F43" s="10">
        <v>8.0</v>
      </c>
      <c r="G43" s="38">
        <v>0.0808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30.0</v>
      </c>
      <c r="E44" s="38">
        <v>0.0615</v>
      </c>
      <c r="F44" s="10">
        <v>3.0</v>
      </c>
      <c r="G44" s="38">
        <v>0.0303</v>
      </c>
      <c r="H44" s="10">
        <v>0.0</v>
      </c>
      <c r="I44" s="38">
        <v>0.0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2.0</v>
      </c>
      <c r="E45" s="38">
        <v>0.0041</v>
      </c>
      <c r="F45" s="10">
        <v>0.0</v>
      </c>
      <c r="G45" s="38">
        <v>0.0</v>
      </c>
      <c r="H45" s="10">
        <v>1.0</v>
      </c>
      <c r="I45" s="38">
        <v>0.025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-0.001793934948</v>
      </c>
      <c r="I46" s="38">
        <v>-0.0018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246.0</v>
      </c>
      <c r="E3" s="38">
        <v>0.5041</v>
      </c>
      <c r="F3" s="10">
        <v>65.0</v>
      </c>
      <c r="G3" s="38">
        <v>0.6566</v>
      </c>
      <c r="H3" s="10">
        <v>29.0</v>
      </c>
      <c r="I3" s="38">
        <v>0.725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234.0</v>
      </c>
      <c r="E4" s="38">
        <v>0.4795</v>
      </c>
      <c r="F4" s="10">
        <v>33.0</v>
      </c>
      <c r="G4" s="38">
        <v>0.3333</v>
      </c>
      <c r="H4" s="10">
        <v>4.0</v>
      </c>
      <c r="I4" s="38">
        <v>0.1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166.0</v>
      </c>
      <c r="E5" s="38">
        <v>0.3402</v>
      </c>
      <c r="F5" s="10">
        <v>47.0</v>
      </c>
      <c r="G5" s="38">
        <v>0.4747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322.0</v>
      </c>
      <c r="E6" s="38">
        <v>0.6598</v>
      </c>
      <c r="F6" s="10">
        <v>52.0</v>
      </c>
      <c r="G6" s="38">
        <v>0.5253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287.0</v>
      </c>
      <c r="E7" s="38">
        <v>0.5881</v>
      </c>
      <c r="F7" s="10">
        <v>49.0</v>
      </c>
      <c r="G7" s="38">
        <v>0.4949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201.0</v>
      </c>
      <c r="E8" s="38">
        <v>0.4119</v>
      </c>
      <c r="F8" s="10">
        <v>52.0</v>
      </c>
      <c r="G8" s="38">
        <v>0.5253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172.0</v>
      </c>
      <c r="E9" s="38">
        <v>0.3525</v>
      </c>
      <c r="F9" s="10">
        <v>31.0</v>
      </c>
      <c r="G9" s="38">
        <v>0.3131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40.0</v>
      </c>
      <c r="E11" s="38">
        <v>0.082</v>
      </c>
      <c r="F11" s="10">
        <v>11.0</v>
      </c>
      <c r="G11" s="38">
        <v>0.1111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138.0</v>
      </c>
      <c r="E12" s="38">
        <v>0.2828</v>
      </c>
      <c r="F12" s="10">
        <v>38.0</v>
      </c>
      <c r="G12" s="38">
        <v>0.3838</v>
      </c>
      <c r="H12" s="10">
        <v>11.0</v>
      </c>
      <c r="I12" s="38">
        <v>0.275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84.0</v>
      </c>
      <c r="E13" s="38">
        <v>0.1721</v>
      </c>
      <c r="F13" s="10">
        <v>22.0</v>
      </c>
      <c r="G13" s="38">
        <v>0.2222</v>
      </c>
      <c r="H13" s="10">
        <v>15.0</v>
      </c>
      <c r="I13" s="38">
        <v>0.375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62.0</v>
      </c>
      <c r="E14" s="38">
        <v>0.127</v>
      </c>
      <c r="F14" s="10">
        <v>9.0</v>
      </c>
      <c r="G14" s="38">
        <v>0.0909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213.0</v>
      </c>
      <c r="E15" s="38">
        <v>0.4365</v>
      </c>
      <c r="F15" s="10">
        <v>56.0</v>
      </c>
      <c r="G15" s="38">
        <v>0.5657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77.0</v>
      </c>
      <c r="E16" s="38">
        <v>0.1578</v>
      </c>
      <c r="F16" s="10">
        <v>11.0</v>
      </c>
      <c r="G16" s="38">
        <v>0.1111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25.0</v>
      </c>
      <c r="E17" s="38">
        <v>0.0512</v>
      </c>
      <c r="F17" s="10">
        <v>5.0</v>
      </c>
      <c r="G17" s="38">
        <v>0.0505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26.0</v>
      </c>
      <c r="E18" s="38">
        <v>0.0533</v>
      </c>
      <c r="F18" s="10">
        <v>1.0</v>
      </c>
      <c r="G18" s="38">
        <v>0.0101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67.0</v>
      </c>
      <c r="E19" s="38">
        <v>0.1373</v>
      </c>
      <c r="F19" s="10">
        <v>13.0</v>
      </c>
      <c r="G19" s="38">
        <v>0.1313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7.0</v>
      </c>
      <c r="E21" s="38">
        <v>0.0143</v>
      </c>
      <c r="F21" s="10">
        <v>1.0</v>
      </c>
      <c r="G21" s="38">
        <v>0.0101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224.0</v>
      </c>
      <c r="E22" s="38">
        <v>0.459</v>
      </c>
      <c r="F22" s="10">
        <v>49.0</v>
      </c>
      <c r="G22" s="38">
        <v>0.4949</v>
      </c>
      <c r="H22" s="10">
        <v>19.0</v>
      </c>
      <c r="I22" s="38">
        <v>0.475</v>
      </c>
      <c r="J22" s="10" t="s">
        <v>40</v>
      </c>
    </row>
    <row r="23">
      <c r="A23" s="10" t="s">
        <v>64</v>
      </c>
      <c r="D23" s="10">
        <v>214.0</v>
      </c>
      <c r="E23" s="38">
        <v>0.4385</v>
      </c>
      <c r="F23" s="10">
        <v>35.0</v>
      </c>
      <c r="G23" s="38">
        <v>0.3535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82.0</v>
      </c>
      <c r="E24" s="38">
        <v>0.168</v>
      </c>
      <c r="F24" s="10">
        <v>14.0</v>
      </c>
      <c r="G24" s="38">
        <v>0.1414</v>
      </c>
      <c r="H24" s="10">
        <v>9.0</v>
      </c>
      <c r="I24" s="38">
        <v>0.225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66.0</v>
      </c>
      <c r="E25" s="38">
        <v>0.1352</v>
      </c>
      <c r="F25" s="10">
        <v>18.0</v>
      </c>
      <c r="G25" s="38">
        <v>0.1818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96.0</v>
      </c>
      <c r="E26" s="38">
        <v>0.1967</v>
      </c>
      <c r="F26" s="10">
        <v>19.0</v>
      </c>
      <c r="G26" s="38">
        <v>0.1919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142.0</v>
      </c>
      <c r="E27" s="38">
        <v>0.291</v>
      </c>
      <c r="F27" s="10">
        <v>38.0</v>
      </c>
      <c r="G27" s="38">
        <v>0.3838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142.0</v>
      </c>
      <c r="E28" s="38">
        <v>0.291</v>
      </c>
      <c r="F28" s="10">
        <v>25.0</v>
      </c>
      <c r="G28" s="38">
        <v>0.2525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7.0</v>
      </c>
      <c r="E29" s="38">
        <v>0.0143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110.0</v>
      </c>
      <c r="E30" s="38">
        <v>0.2254</v>
      </c>
      <c r="F30" s="10">
        <v>23.0</v>
      </c>
      <c r="G30" s="38">
        <v>0.2323</v>
      </c>
      <c r="H30" s="10">
        <v>7.0</v>
      </c>
      <c r="I30" s="38">
        <v>0.175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120.0</v>
      </c>
      <c r="E32" s="38">
        <v>0.2459</v>
      </c>
      <c r="F32" s="10">
        <v>33.0</v>
      </c>
      <c r="G32" s="38">
        <v>0.3333</v>
      </c>
      <c r="H32" s="10">
        <v>16.0</v>
      </c>
      <c r="I32" s="38">
        <v>0.4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7.0</v>
      </c>
      <c r="E33" s="38">
        <v>0.0143</v>
      </c>
      <c r="F33" s="10">
        <v>3.0</v>
      </c>
      <c r="G33" s="38">
        <v>0.0303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143.0</v>
      </c>
      <c r="E34" s="38">
        <v>0.293</v>
      </c>
      <c r="F34" s="10">
        <v>28.0</v>
      </c>
      <c r="G34" s="38">
        <v>0.2828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5.0</v>
      </c>
      <c r="G35" s="38">
        <v>0.0505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49.0</v>
      </c>
      <c r="E36" s="38">
        <v>0.1004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286.0</v>
      </c>
      <c r="E37" s="38">
        <v>0.5861</v>
      </c>
      <c r="F37" s="10">
        <v>47.0</v>
      </c>
      <c r="G37" s="38">
        <v>0.4747</v>
      </c>
      <c r="H37" s="10">
        <v>16.0</v>
      </c>
      <c r="I37" s="38">
        <v>0.4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188.0</v>
      </c>
      <c r="E38" s="38">
        <v>0.3852</v>
      </c>
      <c r="F38" s="10">
        <v>38.0</v>
      </c>
      <c r="G38" s="38">
        <v>0.3838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15.0</v>
      </c>
      <c r="E39" s="38">
        <v>0.0307</v>
      </c>
      <c r="F39" s="10">
        <v>6.0</v>
      </c>
      <c r="G39" s="38">
        <v>0.0606</v>
      </c>
      <c r="H39" s="10">
        <v>2.0</v>
      </c>
      <c r="I39" s="38">
        <v>0.05</v>
      </c>
      <c r="J39" s="10" t="s">
        <v>40</v>
      </c>
      <c r="K39" s="10" t="s">
        <v>43</v>
      </c>
    </row>
    <row r="40">
      <c r="A40" s="10" t="s">
        <v>9</v>
      </c>
      <c r="D40" s="10">
        <v>194.0</v>
      </c>
      <c r="E40" s="38">
        <v>0.3975</v>
      </c>
      <c r="F40" s="10">
        <v>53.0</v>
      </c>
      <c r="G40" s="38">
        <v>0.5354</v>
      </c>
      <c r="H40" s="10">
        <v>25.0</v>
      </c>
      <c r="I40" s="38">
        <v>0.625</v>
      </c>
      <c r="J40" s="10" t="s">
        <v>40</v>
      </c>
    </row>
    <row r="41">
      <c r="A41" s="10" t="s">
        <v>6</v>
      </c>
      <c r="D41" s="10">
        <v>32.0</v>
      </c>
      <c r="E41" s="38">
        <v>0.0656</v>
      </c>
      <c r="F41" s="10">
        <v>7.0</v>
      </c>
      <c r="G41" s="38">
        <v>0.0707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7.0</v>
      </c>
      <c r="E42" s="38">
        <v>0.0143</v>
      </c>
      <c r="F42" s="10">
        <v>2.0</v>
      </c>
      <c r="G42" s="38">
        <v>0.0202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36.0</v>
      </c>
      <c r="E43" s="38">
        <v>0.0738</v>
      </c>
      <c r="F43" s="10">
        <v>13.0</v>
      </c>
      <c r="G43" s="38">
        <v>0.1313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20.0</v>
      </c>
      <c r="E44" s="38">
        <v>0.041</v>
      </c>
      <c r="F44" s="10">
        <v>2.0</v>
      </c>
      <c r="G44" s="38">
        <v>0.0202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4.0</v>
      </c>
      <c r="E45" s="38">
        <v>0.0082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-0.007763052418</v>
      </c>
      <c r="I46" s="38">
        <v>-0.0078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241.0</v>
      </c>
      <c r="E3" s="38">
        <v>0.4939</v>
      </c>
      <c r="F3" s="10">
        <v>63.0</v>
      </c>
      <c r="G3" s="38">
        <v>0.6364</v>
      </c>
      <c r="H3" s="10">
        <v>28.0</v>
      </c>
      <c r="I3" s="38">
        <v>0.7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238.0</v>
      </c>
      <c r="E4" s="38">
        <v>0.4877</v>
      </c>
      <c r="F4" s="10">
        <v>35.0</v>
      </c>
      <c r="G4" s="38">
        <v>0.3535</v>
      </c>
      <c r="H4" s="10">
        <v>5.0</v>
      </c>
      <c r="I4" s="38">
        <v>0.125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168.0</v>
      </c>
      <c r="E5" s="38">
        <v>0.3443</v>
      </c>
      <c r="F5" s="10">
        <v>48.0</v>
      </c>
      <c r="G5" s="38">
        <v>0.4848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320.0</v>
      </c>
      <c r="E6" s="38">
        <v>0.6557</v>
      </c>
      <c r="F6" s="10">
        <v>51.0</v>
      </c>
      <c r="G6" s="38">
        <v>0.5152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289.0</v>
      </c>
      <c r="E7" s="38">
        <v>0.5922</v>
      </c>
      <c r="F7" s="10">
        <v>51.0</v>
      </c>
      <c r="G7" s="38">
        <v>0.5152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199.0</v>
      </c>
      <c r="E8" s="38">
        <v>0.4078</v>
      </c>
      <c r="F8" s="10">
        <v>50.0</v>
      </c>
      <c r="G8" s="38">
        <v>0.5051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181.0</v>
      </c>
      <c r="E9" s="38">
        <v>0.3709</v>
      </c>
      <c r="F9" s="10">
        <v>30.0</v>
      </c>
      <c r="G9" s="38">
        <v>0.303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48.0</v>
      </c>
      <c r="E11" s="38">
        <v>0.0984</v>
      </c>
      <c r="F11" s="10">
        <v>10.0</v>
      </c>
      <c r="G11" s="38">
        <v>0.101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154.0</v>
      </c>
      <c r="E12" s="38">
        <v>0.3156</v>
      </c>
      <c r="F12" s="10">
        <v>44.0</v>
      </c>
      <c r="G12" s="38">
        <v>0.4444</v>
      </c>
      <c r="H12" s="10">
        <v>20.0</v>
      </c>
      <c r="I12" s="38">
        <v>0.5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97.0</v>
      </c>
      <c r="E13" s="38">
        <v>0.1988</v>
      </c>
      <c r="F13" s="10">
        <v>23.0</v>
      </c>
      <c r="G13" s="38">
        <v>0.2323</v>
      </c>
      <c r="H13" s="10">
        <v>22.0</v>
      </c>
      <c r="I13" s="38">
        <v>0.55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60.0</v>
      </c>
      <c r="E14" s="38">
        <v>0.123</v>
      </c>
      <c r="F14" s="10">
        <v>8.0</v>
      </c>
      <c r="G14" s="38">
        <v>0.0808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226.0</v>
      </c>
      <c r="E15" s="38">
        <v>0.4631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74.0</v>
      </c>
      <c r="E16" s="38">
        <v>0.1516</v>
      </c>
      <c r="F16" s="10">
        <v>9.0</v>
      </c>
      <c r="G16" s="38">
        <v>0.0909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7.0</v>
      </c>
      <c r="G17" s="38">
        <v>0.0707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10.0</v>
      </c>
      <c r="E18" s="38">
        <v>0.0205</v>
      </c>
      <c r="F18" s="10">
        <v>1.0</v>
      </c>
      <c r="G18" s="38">
        <v>0.0101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35.0</v>
      </c>
      <c r="E19" s="38">
        <v>0.0717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0.0</v>
      </c>
      <c r="E20" s="38">
        <v>0.0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1.0</v>
      </c>
      <c r="G21" s="38">
        <v>0.0101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222.0</v>
      </c>
      <c r="E22" s="38">
        <v>0.4549</v>
      </c>
      <c r="F22" s="10">
        <v>47.0</v>
      </c>
      <c r="G22" s="38">
        <v>0.4747</v>
      </c>
      <c r="H22" s="10">
        <v>25.0</v>
      </c>
      <c r="I22" s="38">
        <v>0.625</v>
      </c>
      <c r="J22" s="10" t="s">
        <v>40</v>
      </c>
    </row>
    <row r="23">
      <c r="A23" s="10" t="s">
        <v>64</v>
      </c>
      <c r="D23" s="10">
        <v>232.0</v>
      </c>
      <c r="E23" s="38">
        <v>0.4754</v>
      </c>
      <c r="F23" s="10">
        <v>41.0</v>
      </c>
      <c r="G23" s="38">
        <v>0.4141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123.0</v>
      </c>
      <c r="E24" s="38">
        <v>0.252</v>
      </c>
      <c r="F24" s="10">
        <v>30.0</v>
      </c>
      <c r="G24" s="38">
        <v>0.303</v>
      </c>
      <c r="H24" s="10">
        <v>19.0</v>
      </c>
      <c r="I24" s="38">
        <v>0.475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27.0</v>
      </c>
      <c r="G25" s="38">
        <v>0.2727</v>
      </c>
      <c r="H25" s="10">
        <v>11.0</v>
      </c>
      <c r="I25" s="38">
        <v>0.275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211.0</v>
      </c>
      <c r="E26" s="38">
        <v>0.4324</v>
      </c>
      <c r="F26" s="10">
        <v>41.0</v>
      </c>
      <c r="G26" s="38">
        <v>0.4141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215.0</v>
      </c>
      <c r="E27" s="38">
        <v>0.4406</v>
      </c>
      <c r="F27" s="10">
        <v>48.0</v>
      </c>
      <c r="G27" s="38">
        <v>0.4848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118.0</v>
      </c>
      <c r="E28" s="38">
        <v>0.2418</v>
      </c>
      <c r="F28" s="10">
        <v>19.0</v>
      </c>
      <c r="G28" s="38">
        <v>0.1919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4.0</v>
      </c>
      <c r="E29" s="38">
        <v>0.0082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103.0</v>
      </c>
      <c r="E30" s="38">
        <v>0.2111</v>
      </c>
      <c r="F30" s="10">
        <v>20.0</v>
      </c>
      <c r="G30" s="38">
        <v>0.202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16.0</v>
      </c>
      <c r="E31" s="38">
        <v>0.0328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121.0</v>
      </c>
      <c r="E32" s="38">
        <v>0.248</v>
      </c>
      <c r="F32" s="10">
        <v>30.0</v>
      </c>
      <c r="G32" s="38">
        <v>0.303</v>
      </c>
      <c r="H32" s="10">
        <v>18.0</v>
      </c>
      <c r="I32" s="38">
        <v>0.45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5.0</v>
      </c>
      <c r="E33" s="38">
        <v>0.0102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159.0</v>
      </c>
      <c r="E34" s="38">
        <v>0.3258</v>
      </c>
      <c r="F34" s="10">
        <v>42.0</v>
      </c>
      <c r="G34" s="38">
        <v>0.4242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16.0</v>
      </c>
      <c r="E35" s="38">
        <v>0.0328</v>
      </c>
      <c r="F35" s="10">
        <v>1.0</v>
      </c>
      <c r="G35" s="38">
        <v>0.0101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85.0</v>
      </c>
      <c r="E36" s="38">
        <v>0.1742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1.0</v>
      </c>
    </row>
    <row r="37">
      <c r="A37" s="10" t="s">
        <v>8</v>
      </c>
      <c r="D37" s="10">
        <v>280.0</v>
      </c>
      <c r="E37" s="38">
        <v>0.5738</v>
      </c>
      <c r="F37" s="10">
        <v>44.0</v>
      </c>
      <c r="G37" s="38">
        <v>0.4444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167.0</v>
      </c>
      <c r="E38" s="38">
        <v>0.3422</v>
      </c>
      <c r="F38" s="10">
        <v>33.0</v>
      </c>
      <c r="G38" s="38">
        <v>0.3333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3.0</v>
      </c>
      <c r="G39" s="38">
        <v>0.0303</v>
      </c>
      <c r="H39" s="10">
        <v>2.0</v>
      </c>
      <c r="I39" s="38">
        <v>0.05</v>
      </c>
      <c r="J39" s="10" t="s">
        <v>40</v>
      </c>
      <c r="K39" s="10" t="s">
        <v>43</v>
      </c>
    </row>
    <row r="40">
      <c r="A40" s="10" t="s">
        <v>9</v>
      </c>
      <c r="D40" s="10">
        <v>204.0</v>
      </c>
      <c r="E40" s="38">
        <v>0.418</v>
      </c>
      <c r="F40" s="10">
        <v>56.0</v>
      </c>
      <c r="G40" s="38">
        <v>0.5657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1.0</v>
      </c>
      <c r="E41" s="38">
        <v>0.002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79</v>
      </c>
      <c r="L41" s="10">
        <v>1.0</v>
      </c>
    </row>
    <row r="42">
      <c r="A42" s="10" t="s">
        <v>13</v>
      </c>
      <c r="D42" s="10">
        <v>5.0</v>
      </c>
      <c r="E42" s="38">
        <v>0.0102</v>
      </c>
      <c r="F42" s="10">
        <v>2.0</v>
      </c>
      <c r="G42" s="38">
        <v>0.0202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29.0</v>
      </c>
      <c r="E43" s="38">
        <v>0.0594</v>
      </c>
      <c r="F43" s="10">
        <v>6.0</v>
      </c>
      <c r="G43" s="38">
        <v>0.0606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20.0</v>
      </c>
      <c r="E44" s="38">
        <v>0.041</v>
      </c>
      <c r="F44" s="10">
        <v>2.0</v>
      </c>
      <c r="G44" s="38">
        <v>0.0202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0.0</v>
      </c>
      <c r="E45" s="38">
        <v>0.0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-0.004784833717</v>
      </c>
      <c r="I46" s="38">
        <v>-0.0048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241.0</v>
      </c>
      <c r="E3" s="38">
        <v>0.4939</v>
      </c>
      <c r="F3" s="10">
        <v>63.0</v>
      </c>
      <c r="G3" s="38">
        <v>0.6364</v>
      </c>
      <c r="H3" s="10">
        <v>28.0</v>
      </c>
      <c r="I3" s="38">
        <v>0.7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238.0</v>
      </c>
      <c r="E4" s="38">
        <v>0.4877</v>
      </c>
      <c r="F4" s="10">
        <v>35.0</v>
      </c>
      <c r="G4" s="38">
        <v>0.3535</v>
      </c>
      <c r="H4" s="10">
        <v>5.0</v>
      </c>
      <c r="I4" s="38">
        <v>0.125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165.0</v>
      </c>
      <c r="E5" s="38">
        <v>0.3381</v>
      </c>
      <c r="F5" s="10">
        <v>47.0</v>
      </c>
      <c r="G5" s="38">
        <v>0.4747</v>
      </c>
      <c r="H5" s="10">
        <v>20.0</v>
      </c>
      <c r="I5" s="38">
        <v>0.5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323.0</v>
      </c>
      <c r="E6" s="38">
        <v>0.6619</v>
      </c>
      <c r="F6" s="10">
        <v>52.0</v>
      </c>
      <c r="G6" s="38">
        <v>0.5253</v>
      </c>
      <c r="H6" s="10">
        <v>13.0</v>
      </c>
      <c r="I6" s="38">
        <v>0.325</v>
      </c>
      <c r="J6" s="10" t="s">
        <v>40</v>
      </c>
    </row>
    <row r="7">
      <c r="A7" s="10" t="s">
        <v>47</v>
      </c>
      <c r="D7" s="10">
        <v>324.0</v>
      </c>
      <c r="E7" s="38">
        <v>0.6639</v>
      </c>
      <c r="F7" s="10">
        <v>62.0</v>
      </c>
      <c r="G7" s="38">
        <v>0.6263</v>
      </c>
      <c r="H7" s="10">
        <v>28.0</v>
      </c>
      <c r="I7" s="38">
        <v>0.7</v>
      </c>
      <c r="J7" s="10" t="s">
        <v>40</v>
      </c>
      <c r="L7" s="10">
        <v>1.0</v>
      </c>
    </row>
    <row r="8">
      <c r="A8" s="10" t="s">
        <v>48</v>
      </c>
      <c r="D8" s="10">
        <v>164.0</v>
      </c>
      <c r="E8" s="38">
        <v>0.3361</v>
      </c>
      <c r="F8" s="10">
        <v>39.0</v>
      </c>
      <c r="G8" s="38">
        <v>0.3939</v>
      </c>
      <c r="H8" s="10">
        <v>5.0</v>
      </c>
      <c r="I8" s="38">
        <v>0.125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184.0</v>
      </c>
      <c r="E9" s="38">
        <v>0.377</v>
      </c>
      <c r="F9" s="10">
        <v>35.0</v>
      </c>
      <c r="G9" s="38">
        <v>0.3535</v>
      </c>
      <c r="H9" s="10">
        <v>11.0</v>
      </c>
      <c r="I9" s="38">
        <v>0.275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50.0</v>
      </c>
      <c r="E11" s="38">
        <v>0.1025</v>
      </c>
      <c r="F11" s="10">
        <v>11.0</v>
      </c>
      <c r="G11" s="38">
        <v>0.1111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167.0</v>
      </c>
      <c r="E12" s="38">
        <v>0.3422</v>
      </c>
      <c r="F12" s="10">
        <v>51.0</v>
      </c>
      <c r="G12" s="38">
        <v>0.5152</v>
      </c>
      <c r="H12" s="10">
        <v>22.0</v>
      </c>
      <c r="I12" s="38">
        <v>0.55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88.0</v>
      </c>
      <c r="E13" s="38">
        <v>0.1803</v>
      </c>
      <c r="F13" s="10">
        <v>21.0</v>
      </c>
      <c r="G13" s="38">
        <v>0.2121</v>
      </c>
      <c r="H13" s="10">
        <v>23.0</v>
      </c>
      <c r="I13" s="38">
        <v>0.575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52.0</v>
      </c>
      <c r="E14" s="38">
        <v>0.1066</v>
      </c>
      <c r="F14" s="10">
        <v>9.0</v>
      </c>
      <c r="G14" s="38">
        <v>0.0909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226.0</v>
      </c>
      <c r="E15" s="38">
        <v>0.4631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74.0</v>
      </c>
      <c r="E16" s="38">
        <v>0.1516</v>
      </c>
      <c r="F16" s="10">
        <v>9.0</v>
      </c>
      <c r="G16" s="38">
        <v>0.0909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7.0</v>
      </c>
      <c r="G17" s="38">
        <v>0.0707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35.0</v>
      </c>
      <c r="E18" s="38">
        <v>0.0717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27.0</v>
      </c>
      <c r="E19" s="38">
        <v>0.0553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205.0</v>
      </c>
      <c r="E22" s="38">
        <v>0.4201</v>
      </c>
      <c r="F22" s="10">
        <v>49.0</v>
      </c>
      <c r="G22" s="38">
        <v>0.4949</v>
      </c>
      <c r="H22" s="10">
        <v>27.0</v>
      </c>
      <c r="I22" s="38">
        <v>0.675</v>
      </c>
      <c r="J22" s="10" t="s">
        <v>40</v>
      </c>
    </row>
    <row r="23">
      <c r="A23" s="10" t="s">
        <v>64</v>
      </c>
      <c r="D23" s="10">
        <v>256.0</v>
      </c>
      <c r="E23" s="38">
        <v>0.5246</v>
      </c>
      <c r="F23" s="10">
        <v>42.0</v>
      </c>
      <c r="G23" s="38">
        <v>0.4242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137.0</v>
      </c>
      <c r="E24" s="38">
        <v>0.2807</v>
      </c>
      <c r="F24" s="10">
        <v>29.0</v>
      </c>
      <c r="G24" s="38">
        <v>0.2929</v>
      </c>
      <c r="H24" s="10">
        <v>10.0</v>
      </c>
      <c r="I24" s="38">
        <v>0.25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96.0</v>
      </c>
      <c r="E25" s="38">
        <v>0.1967</v>
      </c>
      <c r="F25" s="10">
        <v>35.0</v>
      </c>
      <c r="G25" s="38">
        <v>0.3535</v>
      </c>
      <c r="H25" s="10">
        <v>21.0</v>
      </c>
      <c r="I25" s="38">
        <v>0.525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135.0</v>
      </c>
      <c r="E26" s="38">
        <v>0.2766</v>
      </c>
      <c r="F26" s="10">
        <v>30.0</v>
      </c>
      <c r="G26" s="38">
        <v>0.303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71.0</v>
      </c>
      <c r="E27" s="38">
        <v>0.1455</v>
      </c>
      <c r="F27" s="10">
        <v>18.0</v>
      </c>
      <c r="G27" s="38">
        <v>0.1818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106.0</v>
      </c>
      <c r="E28" s="38">
        <v>0.2172</v>
      </c>
      <c r="F28" s="10">
        <v>22.0</v>
      </c>
      <c r="G28" s="38">
        <v>0.2222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8.0</v>
      </c>
      <c r="E29" s="38">
        <v>0.0164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103.0</v>
      </c>
      <c r="E30" s="38">
        <v>0.2111</v>
      </c>
      <c r="F30" s="10">
        <v>20.0</v>
      </c>
      <c r="G30" s="38">
        <v>0.202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16.0</v>
      </c>
      <c r="E31" s="38">
        <v>0.0328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124.0</v>
      </c>
      <c r="E32" s="38">
        <v>0.2541</v>
      </c>
      <c r="F32" s="10">
        <v>36.0</v>
      </c>
      <c r="G32" s="38">
        <v>0.3636</v>
      </c>
      <c r="H32" s="10">
        <v>15.0</v>
      </c>
      <c r="I32" s="38">
        <v>0.375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8.0</v>
      </c>
      <c r="E33" s="38">
        <v>0.0164</v>
      </c>
      <c r="F33" s="10">
        <v>0.0</v>
      </c>
      <c r="G33" s="38">
        <v>0.0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159.0</v>
      </c>
      <c r="E34" s="38">
        <v>0.3258</v>
      </c>
      <c r="F34" s="10">
        <v>42.0</v>
      </c>
      <c r="G34" s="38">
        <v>0.4242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16.0</v>
      </c>
      <c r="E35" s="38">
        <v>0.0328</v>
      </c>
      <c r="F35" s="10">
        <v>1.0</v>
      </c>
      <c r="G35" s="38">
        <v>0.0101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49.0</v>
      </c>
      <c r="E36" s="38">
        <v>0.1004</v>
      </c>
      <c r="F36" s="10">
        <v>5.0</v>
      </c>
      <c r="G36" s="38">
        <v>0.0505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270.0</v>
      </c>
      <c r="E37" s="38">
        <v>0.5533</v>
      </c>
      <c r="F37" s="10">
        <v>42.0</v>
      </c>
      <c r="G37" s="38">
        <v>0.4242</v>
      </c>
      <c r="H37" s="10">
        <v>12.0</v>
      </c>
      <c r="I37" s="38">
        <v>0.3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160.0</v>
      </c>
      <c r="E38" s="38">
        <v>0.3279</v>
      </c>
      <c r="F38" s="10">
        <v>33.0</v>
      </c>
      <c r="G38" s="38">
        <v>0.3333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214.0</v>
      </c>
      <c r="E40" s="38">
        <v>0.4385</v>
      </c>
      <c r="F40" s="10">
        <v>58.0</v>
      </c>
      <c r="G40" s="38">
        <v>0.5859</v>
      </c>
      <c r="H40" s="10">
        <v>29.0</v>
      </c>
      <c r="I40" s="38">
        <v>0.725</v>
      </c>
      <c r="J40" s="10" t="s">
        <v>40</v>
      </c>
    </row>
    <row r="41">
      <c r="A41" s="10" t="s">
        <v>6</v>
      </c>
      <c r="D41" s="10">
        <v>40.0</v>
      </c>
      <c r="E41" s="38">
        <v>0.082</v>
      </c>
      <c r="F41" s="10">
        <v>7.0</v>
      </c>
      <c r="G41" s="38">
        <v>0.0707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22.0</v>
      </c>
      <c r="E42" s="38">
        <v>0.0451</v>
      </c>
      <c r="F42" s="10">
        <v>4.0</v>
      </c>
      <c r="G42" s="38">
        <v>0.0404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27.0</v>
      </c>
      <c r="E43" s="38">
        <v>0.0553</v>
      </c>
      <c r="F43" s="10">
        <v>3.0</v>
      </c>
      <c r="G43" s="38">
        <v>0.0303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13.0</v>
      </c>
      <c r="E44" s="38">
        <v>0.0266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9.0</v>
      </c>
      <c r="E45" s="38">
        <v>0.0184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-0.01146751961</v>
      </c>
      <c r="I46" s="38">
        <v>-0.0115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241.0</v>
      </c>
      <c r="E3" s="38">
        <v>0.4939</v>
      </c>
      <c r="F3" s="10">
        <v>63.0</v>
      </c>
      <c r="G3" s="38">
        <v>0.6364</v>
      </c>
      <c r="H3" s="10">
        <v>28.0</v>
      </c>
      <c r="I3" s="38">
        <v>0.7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238.0</v>
      </c>
      <c r="E4" s="38">
        <v>0.4877</v>
      </c>
      <c r="F4" s="10">
        <v>35.0</v>
      </c>
      <c r="G4" s="38">
        <v>0.3535</v>
      </c>
      <c r="H4" s="10">
        <v>5.0</v>
      </c>
      <c r="I4" s="38">
        <v>0.125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172.0</v>
      </c>
      <c r="E5" s="38">
        <v>0.3525</v>
      </c>
      <c r="F5" s="10">
        <v>47.0</v>
      </c>
      <c r="G5" s="38">
        <v>0.4747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316.0</v>
      </c>
      <c r="E6" s="38">
        <v>0.6475</v>
      </c>
      <c r="F6" s="10">
        <v>52.0</v>
      </c>
      <c r="G6" s="38">
        <v>0.5253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347.0</v>
      </c>
      <c r="E7" s="38">
        <v>0.7111</v>
      </c>
      <c r="F7" s="10">
        <v>66.0</v>
      </c>
      <c r="G7" s="38">
        <v>0.6667</v>
      </c>
      <c r="H7" s="10">
        <v>30.0</v>
      </c>
      <c r="I7" s="38">
        <v>0.75</v>
      </c>
      <c r="J7" s="10" t="s">
        <v>40</v>
      </c>
      <c r="L7" s="10">
        <v>1.0</v>
      </c>
    </row>
    <row r="8">
      <c r="A8" s="10" t="s">
        <v>48</v>
      </c>
      <c r="D8" s="10">
        <v>141.0</v>
      </c>
      <c r="E8" s="38">
        <v>0.2889</v>
      </c>
      <c r="F8" s="10">
        <v>35.0</v>
      </c>
      <c r="G8" s="38">
        <v>0.3535</v>
      </c>
      <c r="H8" s="10">
        <v>3.0</v>
      </c>
      <c r="I8" s="38">
        <v>0.075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188.0</v>
      </c>
      <c r="E9" s="38">
        <v>0.3852</v>
      </c>
      <c r="F9" s="10">
        <v>34.0</v>
      </c>
      <c r="G9" s="38">
        <v>0.3434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37.0</v>
      </c>
      <c r="E11" s="38">
        <v>0.0758</v>
      </c>
      <c r="F11" s="10">
        <v>11.0</v>
      </c>
      <c r="G11" s="38">
        <v>0.1111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172.0</v>
      </c>
      <c r="E12" s="38">
        <v>0.3525</v>
      </c>
      <c r="F12" s="10">
        <v>52.0</v>
      </c>
      <c r="G12" s="38">
        <v>0.5253</v>
      </c>
      <c r="H12" s="10">
        <v>22.0</v>
      </c>
      <c r="I12" s="38">
        <v>0.55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87.0</v>
      </c>
      <c r="E13" s="38">
        <v>0.1783</v>
      </c>
      <c r="F13" s="10">
        <v>25.0</v>
      </c>
      <c r="G13" s="38">
        <v>0.2525</v>
      </c>
      <c r="H13" s="10">
        <v>25.0</v>
      </c>
      <c r="I13" s="38">
        <v>0.625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61.0</v>
      </c>
      <c r="E14" s="38">
        <v>0.125</v>
      </c>
      <c r="F14" s="10">
        <v>10.0</v>
      </c>
      <c r="G14" s="38">
        <v>0.101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226.0</v>
      </c>
      <c r="E15" s="38">
        <v>0.4631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74.0</v>
      </c>
      <c r="E16" s="38">
        <v>0.1516</v>
      </c>
      <c r="F16" s="10">
        <v>9.0</v>
      </c>
      <c r="G16" s="38">
        <v>0.0909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7.0</v>
      </c>
      <c r="G17" s="38">
        <v>0.0707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10.0</v>
      </c>
      <c r="E18" s="38">
        <v>0.0205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11.0</v>
      </c>
      <c r="E19" s="38">
        <v>0.0225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0.0</v>
      </c>
      <c r="E20" s="38">
        <v>0.0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191.0</v>
      </c>
      <c r="E22" s="38">
        <v>0.3914</v>
      </c>
      <c r="F22" s="10">
        <v>42.0</v>
      </c>
      <c r="G22" s="38">
        <v>0.4242</v>
      </c>
      <c r="H22" s="10">
        <v>27.0</v>
      </c>
      <c r="I22" s="38">
        <v>0.675</v>
      </c>
      <c r="J22" s="10" t="s">
        <v>40</v>
      </c>
    </row>
    <row r="23">
      <c r="A23" s="10" t="s">
        <v>64</v>
      </c>
      <c r="D23" s="10">
        <v>266.0</v>
      </c>
      <c r="E23" s="38">
        <v>0.5451</v>
      </c>
      <c r="F23" s="10">
        <v>48.0</v>
      </c>
      <c r="G23" s="38">
        <v>0.4848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141.0</v>
      </c>
      <c r="E24" s="38">
        <v>0.2889</v>
      </c>
      <c r="F24" s="10">
        <v>26.0</v>
      </c>
      <c r="G24" s="38">
        <v>0.2626</v>
      </c>
      <c r="H24" s="10">
        <v>8.0</v>
      </c>
      <c r="I24" s="38">
        <v>0.2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103.0</v>
      </c>
      <c r="E25" s="38">
        <v>0.2111</v>
      </c>
      <c r="F25" s="10">
        <v>37.0</v>
      </c>
      <c r="G25" s="38">
        <v>0.3737</v>
      </c>
      <c r="H25" s="10">
        <v>24.0</v>
      </c>
      <c r="I25" s="38">
        <v>0.6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172.0</v>
      </c>
      <c r="E26" s="38">
        <v>0.3525</v>
      </c>
      <c r="F26" s="10">
        <v>59.0</v>
      </c>
      <c r="G26" s="38">
        <v>0.596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83.0</v>
      </c>
      <c r="E27" s="38">
        <v>0.1701</v>
      </c>
      <c r="F27" s="10">
        <v>25.0</v>
      </c>
      <c r="G27" s="38">
        <v>0.2525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121.0</v>
      </c>
      <c r="E28" s="38">
        <v>0.248</v>
      </c>
      <c r="F28" s="10">
        <v>24.0</v>
      </c>
      <c r="G28" s="38">
        <v>0.2424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5.0</v>
      </c>
      <c r="E29" s="38">
        <v>0.0102</v>
      </c>
      <c r="F29" s="10">
        <v>0.0</v>
      </c>
      <c r="G29" s="38">
        <v>0.0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103.0</v>
      </c>
      <c r="E30" s="38">
        <v>0.2111</v>
      </c>
      <c r="F30" s="10">
        <v>20.0</v>
      </c>
      <c r="G30" s="38">
        <v>0.202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16.0</v>
      </c>
      <c r="E31" s="38">
        <v>0.0328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124.0</v>
      </c>
      <c r="E32" s="38">
        <v>0.2541</v>
      </c>
      <c r="F32" s="10">
        <v>38.0</v>
      </c>
      <c r="G32" s="38">
        <v>0.3838</v>
      </c>
      <c r="H32" s="10">
        <v>15.0</v>
      </c>
      <c r="I32" s="38">
        <v>0.375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5.0</v>
      </c>
      <c r="E33" s="38">
        <v>0.0102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159.0</v>
      </c>
      <c r="E34" s="38">
        <v>0.3258</v>
      </c>
      <c r="F34" s="10">
        <v>42.0</v>
      </c>
      <c r="G34" s="38">
        <v>0.4242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16.0</v>
      </c>
      <c r="E35" s="38">
        <v>0.0328</v>
      </c>
      <c r="F35" s="10">
        <v>1.0</v>
      </c>
      <c r="G35" s="38">
        <v>0.0101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65.0</v>
      </c>
      <c r="E36" s="38">
        <v>0.1332</v>
      </c>
      <c r="F36" s="10">
        <v>14.0</v>
      </c>
      <c r="G36" s="38">
        <v>0.1414</v>
      </c>
      <c r="H36" s="10">
        <v>1.0</v>
      </c>
      <c r="I36" s="38">
        <v>0.025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267.0</v>
      </c>
      <c r="E37" s="38">
        <v>0.5471</v>
      </c>
      <c r="F37" s="10">
        <v>37.0</v>
      </c>
      <c r="G37" s="38">
        <v>0.3737</v>
      </c>
      <c r="H37" s="10">
        <v>15.0</v>
      </c>
      <c r="I37" s="38">
        <v>0.375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181.0</v>
      </c>
      <c r="E38" s="38">
        <v>0.3709</v>
      </c>
      <c r="F38" s="10">
        <v>40.0</v>
      </c>
      <c r="G38" s="38">
        <v>0.404</v>
      </c>
      <c r="H38" s="10">
        <v>19.0</v>
      </c>
      <c r="I38" s="38">
        <v>0.475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0.0246</v>
      </c>
      <c r="F39" s="10">
        <v>4.0</v>
      </c>
      <c r="G39" s="38">
        <v>0.0404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217.0</v>
      </c>
      <c r="E40" s="38">
        <v>0.4447</v>
      </c>
      <c r="F40" s="10">
        <v>62.0</v>
      </c>
      <c r="G40" s="38">
        <v>0.6263</v>
      </c>
      <c r="H40" s="10">
        <v>26.0</v>
      </c>
      <c r="I40" s="38">
        <v>0.65</v>
      </c>
      <c r="J40" s="10" t="s">
        <v>40</v>
      </c>
    </row>
    <row r="41">
      <c r="A41" s="10" t="s">
        <v>6</v>
      </c>
      <c r="D41" s="10">
        <v>27.0</v>
      </c>
      <c r="E41" s="38">
        <v>0.0553</v>
      </c>
      <c r="F41" s="10">
        <v>0.0</v>
      </c>
      <c r="G41" s="38">
        <v>0.0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22.0</v>
      </c>
      <c r="E42" s="38">
        <v>0.0451</v>
      </c>
      <c r="F42" s="10">
        <v>8.0</v>
      </c>
      <c r="G42" s="38">
        <v>0.0808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25.0</v>
      </c>
      <c r="E43" s="38">
        <v>0.0512</v>
      </c>
      <c r="F43" s="10">
        <v>2.0</v>
      </c>
      <c r="G43" s="38">
        <v>0.0202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18.0</v>
      </c>
      <c r="E44" s="38">
        <v>0.0369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1.0</v>
      </c>
      <c r="E45" s="38">
        <v>0.002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-0.01983458786</v>
      </c>
      <c r="I46" s="38">
        <v>-0.0198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241.0</v>
      </c>
      <c r="E3" s="38">
        <v>0.4939</v>
      </c>
      <c r="F3" s="10">
        <v>63.0</v>
      </c>
      <c r="G3" s="38">
        <v>0.6364</v>
      </c>
      <c r="H3" s="10">
        <v>28.0</v>
      </c>
      <c r="I3" s="38">
        <v>0.7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238.0</v>
      </c>
      <c r="E4" s="38">
        <v>0.4877</v>
      </c>
      <c r="F4" s="10">
        <v>35.0</v>
      </c>
      <c r="G4" s="38">
        <v>0.3535</v>
      </c>
      <c r="H4" s="10">
        <v>5.0</v>
      </c>
      <c r="I4" s="38">
        <v>0.125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177.0</v>
      </c>
      <c r="E5" s="38">
        <v>0.3627</v>
      </c>
      <c r="F5" s="10">
        <v>49.0</v>
      </c>
      <c r="G5" s="38">
        <v>0.4949</v>
      </c>
      <c r="H5" s="10">
        <v>20.0</v>
      </c>
      <c r="I5" s="38">
        <v>0.5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311.0</v>
      </c>
      <c r="E6" s="38">
        <v>0.6373</v>
      </c>
      <c r="F6" s="10">
        <v>50.0</v>
      </c>
      <c r="G6" s="38">
        <v>0.5051</v>
      </c>
      <c r="H6" s="10">
        <v>13.0</v>
      </c>
      <c r="I6" s="38">
        <v>0.325</v>
      </c>
      <c r="J6" s="10" t="s">
        <v>40</v>
      </c>
    </row>
    <row r="7">
      <c r="A7" s="10" t="s">
        <v>47</v>
      </c>
      <c r="D7" s="10">
        <v>383.0</v>
      </c>
      <c r="E7" s="38">
        <v>0.7848</v>
      </c>
      <c r="F7" s="10">
        <v>71.0</v>
      </c>
      <c r="G7" s="38">
        <v>0.7172</v>
      </c>
      <c r="H7" s="10">
        <v>30.0</v>
      </c>
      <c r="I7" s="38">
        <v>0.75</v>
      </c>
      <c r="J7" s="10" t="s">
        <v>40</v>
      </c>
      <c r="L7" s="10">
        <v>1.0</v>
      </c>
    </row>
    <row r="8">
      <c r="A8" s="10" t="s">
        <v>48</v>
      </c>
      <c r="D8" s="10">
        <v>105.0</v>
      </c>
      <c r="E8" s="38">
        <v>0.2152</v>
      </c>
      <c r="F8" s="10">
        <v>30.0</v>
      </c>
      <c r="G8" s="38">
        <v>0.303</v>
      </c>
      <c r="H8" s="10">
        <v>3.0</v>
      </c>
      <c r="I8" s="38">
        <v>0.075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179.0</v>
      </c>
      <c r="E9" s="38">
        <v>0.3668</v>
      </c>
      <c r="F9" s="10">
        <v>35.0</v>
      </c>
      <c r="G9" s="38">
        <v>0.3535</v>
      </c>
      <c r="H9" s="10">
        <v>11.0</v>
      </c>
      <c r="I9" s="38">
        <v>0.275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48.0</v>
      </c>
      <c r="E11" s="38">
        <v>0.0984</v>
      </c>
      <c r="F11" s="10">
        <v>10.0</v>
      </c>
      <c r="G11" s="38">
        <v>0.101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176.0</v>
      </c>
      <c r="E12" s="38">
        <v>0.3607</v>
      </c>
      <c r="F12" s="10">
        <v>55.0</v>
      </c>
      <c r="G12" s="38">
        <v>0.5556</v>
      </c>
      <c r="H12" s="10">
        <v>21.0</v>
      </c>
      <c r="I12" s="38">
        <v>0.525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93.0</v>
      </c>
      <c r="E13" s="38">
        <v>0.1906</v>
      </c>
      <c r="F13" s="10">
        <v>27.0</v>
      </c>
      <c r="G13" s="38">
        <v>0.2727</v>
      </c>
      <c r="H13" s="10">
        <v>26.0</v>
      </c>
      <c r="I13" s="38">
        <v>0.65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61.0</v>
      </c>
      <c r="E14" s="38">
        <v>0.125</v>
      </c>
      <c r="F14" s="10">
        <v>7.0</v>
      </c>
      <c r="G14" s="38">
        <v>0.0707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226.0</v>
      </c>
      <c r="E15" s="38">
        <v>0.4631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74.0</v>
      </c>
      <c r="E16" s="38">
        <v>0.1516</v>
      </c>
      <c r="F16" s="10">
        <v>9.0</v>
      </c>
      <c r="G16" s="38">
        <v>0.0909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7.0</v>
      </c>
      <c r="G17" s="38">
        <v>0.0707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26.0</v>
      </c>
      <c r="E18" s="38">
        <v>0.0533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26.0</v>
      </c>
      <c r="E19" s="38">
        <v>0.0533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8.0</v>
      </c>
      <c r="E20" s="38">
        <v>0.0164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200.0</v>
      </c>
      <c r="E22" s="38">
        <v>0.4098</v>
      </c>
      <c r="F22" s="10">
        <v>45.0</v>
      </c>
      <c r="G22" s="38">
        <v>0.4545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261.0</v>
      </c>
      <c r="E23" s="38">
        <v>0.5348</v>
      </c>
      <c r="F23" s="10">
        <v>46.0</v>
      </c>
      <c r="G23" s="38">
        <v>0.4646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118.0</v>
      </c>
      <c r="E24" s="38">
        <v>0.2418</v>
      </c>
      <c r="F24" s="10">
        <v>20.0</v>
      </c>
      <c r="G24" s="38">
        <v>0.202</v>
      </c>
      <c r="H24" s="10">
        <v>3.0</v>
      </c>
      <c r="I24" s="38">
        <v>0.075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73.0</v>
      </c>
      <c r="E25" s="38">
        <v>0.1496</v>
      </c>
      <c r="F25" s="10">
        <v>20.0</v>
      </c>
      <c r="G25" s="38">
        <v>0.202</v>
      </c>
      <c r="H25" s="10">
        <v>20.0</v>
      </c>
      <c r="I25" s="38">
        <v>0.5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116.0</v>
      </c>
      <c r="E26" s="38">
        <v>0.2377</v>
      </c>
      <c r="F26" s="10">
        <v>23.0</v>
      </c>
      <c r="G26" s="38">
        <v>0.2323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67.0</v>
      </c>
      <c r="E27" s="38">
        <v>0.1373</v>
      </c>
      <c r="F27" s="10">
        <v>14.0</v>
      </c>
      <c r="G27" s="38">
        <v>0.1414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116.0</v>
      </c>
      <c r="E28" s="38">
        <v>0.2377</v>
      </c>
      <c r="F28" s="10">
        <v>23.0</v>
      </c>
      <c r="G28" s="38">
        <v>0.2323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10.0</v>
      </c>
      <c r="E29" s="38">
        <v>0.0205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103.0</v>
      </c>
      <c r="E30" s="38">
        <v>0.2111</v>
      </c>
      <c r="F30" s="10">
        <v>20.0</v>
      </c>
      <c r="G30" s="38">
        <v>0.202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16.0</v>
      </c>
      <c r="E31" s="38">
        <v>0.0328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127.0</v>
      </c>
      <c r="E32" s="38">
        <v>0.2602</v>
      </c>
      <c r="F32" s="10">
        <v>38.0</v>
      </c>
      <c r="G32" s="38">
        <v>0.3838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11.0</v>
      </c>
      <c r="E33" s="38">
        <v>0.0225</v>
      </c>
      <c r="F33" s="10">
        <v>3.0</v>
      </c>
      <c r="G33" s="38">
        <v>0.0303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159.0</v>
      </c>
      <c r="E34" s="38">
        <v>0.3258</v>
      </c>
      <c r="F34" s="10">
        <v>42.0</v>
      </c>
      <c r="G34" s="38">
        <v>0.4242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16.0</v>
      </c>
      <c r="E35" s="38">
        <v>0.0328</v>
      </c>
      <c r="F35" s="10">
        <v>1.0</v>
      </c>
      <c r="G35" s="38">
        <v>0.0101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48.0</v>
      </c>
      <c r="E36" s="38">
        <v>0.0984</v>
      </c>
      <c r="F36" s="10">
        <v>6.0</v>
      </c>
      <c r="G36" s="38">
        <v>0.0606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278.0</v>
      </c>
      <c r="E37" s="38">
        <v>0.5697</v>
      </c>
      <c r="F37" s="10">
        <v>44.0</v>
      </c>
      <c r="G37" s="38">
        <v>0.4444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171.0</v>
      </c>
      <c r="E38" s="38">
        <v>0.3504</v>
      </c>
      <c r="F38" s="10">
        <v>41.0</v>
      </c>
      <c r="G38" s="38">
        <v>0.4141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1.0</v>
      </c>
      <c r="G39" s="38">
        <v>0.0101</v>
      </c>
      <c r="H39" s="10">
        <v>2.0</v>
      </c>
      <c r="I39" s="38">
        <v>0.05</v>
      </c>
      <c r="J39" s="10" t="s">
        <v>40</v>
      </c>
      <c r="K39" s="10" t="s">
        <v>43</v>
      </c>
    </row>
    <row r="40">
      <c r="A40" s="10" t="s">
        <v>9</v>
      </c>
      <c r="D40" s="10">
        <v>203.0</v>
      </c>
      <c r="E40" s="38">
        <v>0.416</v>
      </c>
      <c r="F40" s="10">
        <v>57.0</v>
      </c>
      <c r="G40" s="38">
        <v>0.5758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52.0</v>
      </c>
      <c r="E41" s="38">
        <v>0.1066</v>
      </c>
      <c r="F41" s="10">
        <v>9.0</v>
      </c>
      <c r="G41" s="38">
        <v>0.0909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25.0</v>
      </c>
      <c r="E42" s="38">
        <v>0.0512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41.0</v>
      </c>
      <c r="E43" s="38">
        <v>0.084</v>
      </c>
      <c r="F43" s="10">
        <v>10.0</v>
      </c>
      <c r="G43" s="38">
        <v>0.101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18.0</v>
      </c>
      <c r="E44" s="38">
        <v>0.0369</v>
      </c>
      <c r="F44" s="10">
        <v>2.0</v>
      </c>
      <c r="G44" s="38">
        <v>0.0202</v>
      </c>
      <c r="H44" s="10">
        <v>2.0</v>
      </c>
      <c r="I44" s="38">
        <v>0.05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-0.01343684606</v>
      </c>
      <c r="I46" s="38">
        <v>-0.0134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6.0</v>
      </c>
    </row>
    <row r="3">
      <c r="A3" s="10" t="s">
        <v>42</v>
      </c>
      <c r="B3" s="10">
        <v>0.0</v>
      </c>
      <c r="C3" s="38">
        <v>0.0</v>
      </c>
      <c r="D3" s="10">
        <v>241.0</v>
      </c>
      <c r="E3" s="38">
        <v>0.4939</v>
      </c>
      <c r="F3" s="10">
        <v>63.0</v>
      </c>
      <c r="G3" s="38">
        <v>0.6364</v>
      </c>
      <c r="H3" s="10">
        <v>28.0</v>
      </c>
      <c r="I3" s="38">
        <v>0.7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238.0</v>
      </c>
      <c r="E4" s="38">
        <v>0.4877</v>
      </c>
      <c r="F4" s="10">
        <v>35.0</v>
      </c>
      <c r="G4" s="38">
        <v>0.3535</v>
      </c>
      <c r="H4" s="10">
        <v>5.0</v>
      </c>
      <c r="I4" s="38">
        <v>0.125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174.0</v>
      </c>
      <c r="E5" s="38">
        <v>0.3566</v>
      </c>
      <c r="F5" s="10">
        <v>47.0</v>
      </c>
      <c r="G5" s="38">
        <v>0.4747</v>
      </c>
      <c r="H5" s="10">
        <v>20.0</v>
      </c>
      <c r="I5" s="38">
        <v>0.5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314.0</v>
      </c>
      <c r="E6" s="38">
        <v>0.6434</v>
      </c>
      <c r="F6" s="10">
        <v>52.0</v>
      </c>
      <c r="G6" s="38">
        <v>0.5253</v>
      </c>
      <c r="H6" s="10">
        <v>13.0</v>
      </c>
      <c r="I6" s="38">
        <v>0.325</v>
      </c>
      <c r="J6" s="10" t="s">
        <v>40</v>
      </c>
    </row>
    <row r="7">
      <c r="A7" s="10" t="s">
        <v>47</v>
      </c>
      <c r="D7" s="10">
        <v>376.0</v>
      </c>
      <c r="E7" s="38">
        <v>0.7705</v>
      </c>
      <c r="F7" s="10">
        <v>72.0</v>
      </c>
      <c r="G7" s="38">
        <v>0.7273</v>
      </c>
      <c r="H7" s="10">
        <v>30.0</v>
      </c>
      <c r="I7" s="38">
        <v>0.75</v>
      </c>
      <c r="J7" s="10" t="s">
        <v>40</v>
      </c>
      <c r="L7" s="10">
        <v>1.0</v>
      </c>
    </row>
    <row r="8">
      <c r="A8" s="10" t="s">
        <v>48</v>
      </c>
      <c r="D8" s="10">
        <v>112.0</v>
      </c>
      <c r="E8" s="38">
        <v>0.2295</v>
      </c>
      <c r="F8" s="10">
        <v>29.0</v>
      </c>
      <c r="G8" s="38">
        <v>0.2929</v>
      </c>
      <c r="H8" s="10">
        <v>3.0</v>
      </c>
      <c r="I8" s="38">
        <v>0.075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163.0</v>
      </c>
      <c r="E9" s="38">
        <v>0.334</v>
      </c>
      <c r="F9" s="10">
        <v>33.0</v>
      </c>
      <c r="G9" s="38">
        <v>0.3333</v>
      </c>
      <c r="H9" s="10">
        <v>11.0</v>
      </c>
      <c r="I9" s="38">
        <v>0.275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52.0</v>
      </c>
      <c r="E11" s="38">
        <v>0.1066</v>
      </c>
      <c r="F11" s="10">
        <v>13.0</v>
      </c>
      <c r="G11" s="38">
        <v>0.1313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187.0</v>
      </c>
      <c r="E12" s="38">
        <v>0.3832</v>
      </c>
      <c r="F12" s="10">
        <v>55.0</v>
      </c>
      <c r="G12" s="38">
        <v>0.5556</v>
      </c>
      <c r="H12" s="10">
        <v>22.0</v>
      </c>
      <c r="I12" s="38">
        <v>0.55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82.0</v>
      </c>
      <c r="E13" s="38">
        <v>0.168</v>
      </c>
      <c r="F13" s="10">
        <v>27.0</v>
      </c>
      <c r="G13" s="38">
        <v>0.2727</v>
      </c>
      <c r="H13" s="10">
        <v>22.0</v>
      </c>
      <c r="I13" s="38">
        <v>0.55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50.0</v>
      </c>
      <c r="E14" s="38">
        <v>0.1025</v>
      </c>
      <c r="F14" s="10">
        <v>7.0</v>
      </c>
      <c r="G14" s="38">
        <v>0.0707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226.0</v>
      </c>
      <c r="E15" s="38">
        <v>0.4631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74.0</v>
      </c>
      <c r="E16" s="38">
        <v>0.1516</v>
      </c>
      <c r="F16" s="10">
        <v>9.0</v>
      </c>
      <c r="G16" s="38">
        <v>0.0909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7.0</v>
      </c>
      <c r="G17" s="38">
        <v>0.0707</v>
      </c>
      <c r="H17" s="10">
        <v>3.0</v>
      </c>
      <c r="I17" s="38">
        <v>0.075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99.0</v>
      </c>
      <c r="E18" s="38">
        <v>0.2029</v>
      </c>
      <c r="F18" s="10">
        <v>20.0</v>
      </c>
      <c r="G18" s="38">
        <v>0.202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8.0</v>
      </c>
      <c r="E19" s="38">
        <v>0.0164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12.0</v>
      </c>
      <c r="E20" s="38">
        <v>0.0246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20.0</v>
      </c>
      <c r="G21" s="38">
        <v>0.202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232.0</v>
      </c>
      <c r="E22" s="38">
        <v>0.4754</v>
      </c>
      <c r="F22" s="10">
        <v>56.0</v>
      </c>
      <c r="G22" s="38">
        <v>0.5657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196.0</v>
      </c>
      <c r="E23" s="38">
        <v>0.4016</v>
      </c>
      <c r="F23" s="10">
        <v>29.0</v>
      </c>
      <c r="G23" s="38">
        <v>0.2929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129.0</v>
      </c>
      <c r="E24" s="38">
        <v>0.2643</v>
      </c>
      <c r="F24" s="10">
        <v>17.0</v>
      </c>
      <c r="G24" s="38">
        <v>0.1717</v>
      </c>
      <c r="H24" s="10">
        <v>5.0</v>
      </c>
      <c r="I24" s="38">
        <v>0.125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83.0</v>
      </c>
      <c r="E25" s="38">
        <v>0.1701</v>
      </c>
      <c r="F25" s="10">
        <v>31.0</v>
      </c>
      <c r="G25" s="38">
        <v>0.3131</v>
      </c>
      <c r="H25" s="10">
        <v>24.0</v>
      </c>
      <c r="I25" s="38">
        <v>0.6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123.0</v>
      </c>
      <c r="E26" s="38">
        <v>0.252</v>
      </c>
      <c r="F26" s="10">
        <v>24.0</v>
      </c>
      <c r="G26" s="38">
        <v>0.2424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126.0</v>
      </c>
      <c r="E27" s="38">
        <v>0.2582</v>
      </c>
      <c r="F27" s="10">
        <v>33.0</v>
      </c>
      <c r="G27" s="38">
        <v>0.3333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130.0</v>
      </c>
      <c r="E28" s="38">
        <v>0.2664</v>
      </c>
      <c r="F28" s="10">
        <v>29.0</v>
      </c>
      <c r="G28" s="38">
        <v>0.2929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23.0</v>
      </c>
      <c r="E29" s="38">
        <v>0.0471</v>
      </c>
      <c r="F29" s="10">
        <v>7.0</v>
      </c>
      <c r="G29" s="38">
        <v>0.0707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103.0</v>
      </c>
      <c r="E30" s="38">
        <v>0.2111</v>
      </c>
      <c r="F30" s="10">
        <v>20.0</v>
      </c>
      <c r="G30" s="38">
        <v>0.202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16.0</v>
      </c>
      <c r="E31" s="38">
        <v>0.0328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157.0</v>
      </c>
      <c r="E32" s="38">
        <v>0.3217</v>
      </c>
      <c r="F32" s="10">
        <v>44.0</v>
      </c>
      <c r="G32" s="38">
        <v>0.4444</v>
      </c>
      <c r="H32" s="10">
        <v>7.0</v>
      </c>
      <c r="I32" s="38">
        <v>0.175</v>
      </c>
      <c r="J32" s="10" t="s">
        <v>40</v>
      </c>
      <c r="L32" s="10">
        <v>1.0</v>
      </c>
    </row>
    <row r="33">
      <c r="A33" s="10" t="s">
        <v>75</v>
      </c>
      <c r="B33" s="10">
        <v>0.0</v>
      </c>
      <c r="C33" s="38">
        <v>0.0</v>
      </c>
      <c r="D33" s="10">
        <v>25.0</v>
      </c>
      <c r="E33" s="38">
        <v>0.0512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159.0</v>
      </c>
      <c r="E34" s="38">
        <v>0.3258</v>
      </c>
      <c r="F34" s="10">
        <v>42.0</v>
      </c>
      <c r="G34" s="38">
        <v>0.4242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16.0</v>
      </c>
      <c r="E35" s="38">
        <v>0.0328</v>
      </c>
      <c r="F35" s="10">
        <v>1.0</v>
      </c>
      <c r="G35" s="38">
        <v>0.0101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52.0</v>
      </c>
      <c r="E36" s="38">
        <v>0.1066</v>
      </c>
      <c r="F36" s="10">
        <v>5.0</v>
      </c>
      <c r="G36" s="38">
        <v>0.0505</v>
      </c>
      <c r="H36" s="10">
        <v>0.0</v>
      </c>
      <c r="I36" s="38">
        <v>0.0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292.0</v>
      </c>
      <c r="E37" s="38">
        <v>0.5984</v>
      </c>
      <c r="F37" s="10">
        <v>51.0</v>
      </c>
      <c r="G37" s="38">
        <v>0.5152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189.0</v>
      </c>
      <c r="E38" s="38">
        <v>0.3873</v>
      </c>
      <c r="F38" s="10">
        <v>40.0</v>
      </c>
      <c r="G38" s="38">
        <v>0.404</v>
      </c>
      <c r="H38" s="10">
        <v>9.0</v>
      </c>
      <c r="I38" s="38">
        <v>0.225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0.0246</v>
      </c>
      <c r="F39" s="10">
        <v>2.0</v>
      </c>
      <c r="G39" s="38">
        <v>0.0202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191.0</v>
      </c>
      <c r="E40" s="38">
        <v>0.3914</v>
      </c>
      <c r="F40" s="10">
        <v>50.0</v>
      </c>
      <c r="G40" s="38">
        <v>0.5051</v>
      </c>
      <c r="H40" s="10">
        <v>20.0</v>
      </c>
      <c r="I40" s="38">
        <v>0.5</v>
      </c>
      <c r="J40" s="10" t="s">
        <v>40</v>
      </c>
    </row>
    <row r="41">
      <c r="A41" s="10" t="s">
        <v>6</v>
      </c>
      <c r="D41" s="10">
        <v>43.0</v>
      </c>
      <c r="E41" s="38">
        <v>0.0881</v>
      </c>
      <c r="F41" s="10">
        <v>7.0</v>
      </c>
      <c r="G41" s="38">
        <v>0.0707</v>
      </c>
      <c r="H41" s="10">
        <v>1.0</v>
      </c>
      <c r="I41" s="38">
        <v>0.025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46.0</v>
      </c>
      <c r="E42" s="38">
        <v>0.0943</v>
      </c>
      <c r="F42" s="10">
        <v>12.0</v>
      </c>
      <c r="G42" s="38">
        <v>0.1212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54.0</v>
      </c>
      <c r="E43" s="38">
        <v>0.1107</v>
      </c>
      <c r="F43" s="10">
        <v>12.0</v>
      </c>
      <c r="G43" s="38">
        <v>0.1212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25.0</v>
      </c>
      <c r="E44" s="38">
        <v>0.0512</v>
      </c>
      <c r="F44" s="10">
        <v>3.0</v>
      </c>
      <c r="G44" s="38">
        <v>0.0303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17.0</v>
      </c>
      <c r="E45" s="38">
        <v>0.0348</v>
      </c>
      <c r="F45" s="10">
        <v>7.0</v>
      </c>
      <c r="G45" s="38">
        <v>0.0707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-0.01487747994</v>
      </c>
      <c r="I46" s="38">
        <v>-0.0149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88</v>
      </c>
      <c r="L2" s="10">
        <v>5.0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181.0</v>
      </c>
      <c r="E5" s="38">
        <v>0.3709</v>
      </c>
      <c r="F5" s="10">
        <v>47.0</v>
      </c>
      <c r="G5" s="38">
        <v>0.4747</v>
      </c>
      <c r="H5" s="10">
        <v>20.0</v>
      </c>
      <c r="I5" s="38">
        <v>0.5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307.0</v>
      </c>
      <c r="E6" s="38">
        <v>0.6291</v>
      </c>
      <c r="F6" s="10">
        <v>52.0</v>
      </c>
      <c r="G6" s="38">
        <v>0.5253</v>
      </c>
      <c r="H6" s="10">
        <v>13.0</v>
      </c>
      <c r="I6" s="38">
        <v>0.325</v>
      </c>
      <c r="J6" s="10" t="s">
        <v>40</v>
      </c>
    </row>
    <row r="7">
      <c r="A7" s="10" t="s">
        <v>47</v>
      </c>
      <c r="D7" s="10">
        <v>279.0</v>
      </c>
      <c r="E7" s="38">
        <v>0.5717</v>
      </c>
      <c r="F7" s="10">
        <v>45.0</v>
      </c>
      <c r="G7" s="38">
        <v>0.4545</v>
      </c>
      <c r="H7" s="10">
        <v>6.0</v>
      </c>
      <c r="I7" s="38">
        <v>0.15</v>
      </c>
      <c r="J7" s="10" t="s">
        <v>40</v>
      </c>
      <c r="L7" s="10">
        <v>1.0</v>
      </c>
    </row>
    <row r="8">
      <c r="A8" s="10" t="s">
        <v>48</v>
      </c>
      <c r="D8" s="10">
        <v>209.0</v>
      </c>
      <c r="E8" s="38">
        <v>0.4283</v>
      </c>
      <c r="F8" s="10">
        <v>56.0</v>
      </c>
      <c r="G8" s="38">
        <v>0.5657</v>
      </c>
      <c r="H8" s="10">
        <v>27.0</v>
      </c>
      <c r="I8" s="38">
        <v>0.675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167.0</v>
      </c>
      <c r="E9" s="38">
        <v>0.3422</v>
      </c>
      <c r="F9" s="10">
        <v>35.0</v>
      </c>
      <c r="G9" s="38">
        <v>0.3535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30.0</v>
      </c>
      <c r="E11" s="38">
        <v>0.0615</v>
      </c>
      <c r="F11" s="10">
        <v>9.0</v>
      </c>
      <c r="G11" s="38">
        <v>0.0909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137.0</v>
      </c>
      <c r="E12" s="38">
        <v>0.2807</v>
      </c>
      <c r="F12" s="10">
        <v>40.0</v>
      </c>
      <c r="G12" s="38">
        <v>0.404</v>
      </c>
      <c r="H12" s="10">
        <v>14.0</v>
      </c>
      <c r="I12" s="38">
        <v>0.35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71.0</v>
      </c>
      <c r="E13" s="38">
        <v>0.1455</v>
      </c>
      <c r="F13" s="10">
        <v>17.0</v>
      </c>
      <c r="G13" s="38">
        <v>0.1717</v>
      </c>
      <c r="H13" s="10">
        <v>13.0</v>
      </c>
      <c r="I13" s="38">
        <v>0.325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60.0</v>
      </c>
      <c r="E14" s="38">
        <v>0.123</v>
      </c>
      <c r="F14" s="10">
        <v>10.0</v>
      </c>
      <c r="G14" s="38">
        <v>0.101</v>
      </c>
      <c r="H14" s="10">
        <v>8.0</v>
      </c>
      <c r="I14" s="38">
        <v>0.2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44.0</v>
      </c>
      <c r="E18" s="38">
        <v>0.0902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35.0</v>
      </c>
      <c r="E19" s="38">
        <v>0.0717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9.0</v>
      </c>
      <c r="E20" s="38">
        <v>0.0184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231.0</v>
      </c>
      <c r="E22" s="38">
        <v>0.4734</v>
      </c>
      <c r="F22" s="10">
        <v>51.0</v>
      </c>
      <c r="G22" s="38">
        <v>0.5152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195.0</v>
      </c>
      <c r="E23" s="38">
        <v>0.3996</v>
      </c>
      <c r="F23" s="10">
        <v>35.0</v>
      </c>
      <c r="G23" s="38">
        <v>0.3535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102.0</v>
      </c>
      <c r="E24" s="38">
        <v>0.209</v>
      </c>
      <c r="F24" s="10">
        <v>29.0</v>
      </c>
      <c r="G24" s="38">
        <v>0.2929</v>
      </c>
      <c r="H24" s="10">
        <v>20.0</v>
      </c>
      <c r="I24" s="38">
        <v>0.5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63.0</v>
      </c>
      <c r="E25" s="38">
        <v>0.1291</v>
      </c>
      <c r="F25" s="10">
        <v>26.0</v>
      </c>
      <c r="G25" s="38">
        <v>0.2626</v>
      </c>
      <c r="H25" s="10">
        <v>3.0</v>
      </c>
      <c r="I25" s="38">
        <v>0.075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88.0</v>
      </c>
      <c r="E26" s="38">
        <v>0.1803</v>
      </c>
      <c r="F26" s="10">
        <v>19.0</v>
      </c>
      <c r="G26" s="38">
        <v>0.1919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180.0</v>
      </c>
      <c r="E27" s="38">
        <v>0.3689</v>
      </c>
      <c r="F27" s="10">
        <v>51.0</v>
      </c>
      <c r="G27" s="38">
        <v>0.5152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149.0</v>
      </c>
      <c r="E28" s="38">
        <v>0.3053</v>
      </c>
      <c r="F28" s="10">
        <v>29.0</v>
      </c>
      <c r="G28" s="38">
        <v>0.2929</v>
      </c>
      <c r="H28" s="10">
        <v>5.0</v>
      </c>
      <c r="I28" s="38">
        <v>0.125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24.0</v>
      </c>
      <c r="E29" s="38">
        <v>0.0492</v>
      </c>
      <c r="F29" s="10">
        <v>6.0</v>
      </c>
      <c r="G29" s="38">
        <v>0.0606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130.0</v>
      </c>
      <c r="E32" s="38">
        <v>0.2664</v>
      </c>
      <c r="F32" s="10">
        <v>32.0</v>
      </c>
      <c r="G32" s="38">
        <v>0.3232</v>
      </c>
      <c r="H32" s="10">
        <v>8.0</v>
      </c>
      <c r="I32" s="38">
        <v>0.2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24.0</v>
      </c>
      <c r="E33" s="38">
        <v>0.0492</v>
      </c>
      <c r="F33" s="10">
        <v>6.0</v>
      </c>
      <c r="G33" s="38">
        <v>0.0606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68.0</v>
      </c>
      <c r="E36" s="38">
        <v>0.1393</v>
      </c>
      <c r="F36" s="10">
        <v>9.0</v>
      </c>
      <c r="G36" s="38">
        <v>0.0909</v>
      </c>
      <c r="H36" s="10">
        <v>0.0</v>
      </c>
      <c r="I36" s="38">
        <v>0.0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293.0</v>
      </c>
      <c r="E37" s="38">
        <v>0.6004</v>
      </c>
      <c r="F37" s="10">
        <v>48.0</v>
      </c>
      <c r="G37" s="38">
        <v>0.4848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196.0</v>
      </c>
      <c r="E38" s="38">
        <v>0.4016</v>
      </c>
      <c r="F38" s="10">
        <v>36.0</v>
      </c>
      <c r="G38" s="38">
        <v>0.3636</v>
      </c>
      <c r="H38" s="10">
        <v>11.0</v>
      </c>
      <c r="I38" s="38">
        <v>0.275</v>
      </c>
      <c r="J38" s="10" t="s">
        <v>40</v>
      </c>
      <c r="K38" s="10" t="s">
        <v>79</v>
      </c>
    </row>
    <row r="39">
      <c r="A39" s="10" t="s">
        <v>78</v>
      </c>
      <c r="D39" s="10">
        <v>22.0</v>
      </c>
      <c r="E39" s="38">
        <v>0.0451</v>
      </c>
      <c r="F39" s="10">
        <v>5.0</v>
      </c>
      <c r="G39" s="38">
        <v>0.0505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190.0</v>
      </c>
      <c r="E40" s="38">
        <v>0.3893</v>
      </c>
      <c r="F40" s="10">
        <v>52.0</v>
      </c>
      <c r="G40" s="38">
        <v>0.5253</v>
      </c>
      <c r="H40" s="10">
        <v>20.0</v>
      </c>
      <c r="I40" s="38">
        <v>0.5</v>
      </c>
      <c r="J40" s="10" t="s">
        <v>40</v>
      </c>
    </row>
    <row r="41">
      <c r="A41" s="10" t="s">
        <v>6</v>
      </c>
      <c r="D41" s="10">
        <v>41.0</v>
      </c>
      <c r="E41" s="38">
        <v>0.084</v>
      </c>
      <c r="F41" s="10">
        <v>7.0</v>
      </c>
      <c r="G41" s="38">
        <v>0.0707</v>
      </c>
      <c r="H41" s="10">
        <v>1.0</v>
      </c>
      <c r="I41" s="38">
        <v>0.025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45.0</v>
      </c>
      <c r="E42" s="38">
        <v>0.0922</v>
      </c>
      <c r="F42" s="10">
        <v>9.0</v>
      </c>
      <c r="G42" s="38">
        <v>0.0909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71.0</v>
      </c>
      <c r="E43" s="38">
        <v>0.1455</v>
      </c>
      <c r="F43" s="10">
        <v>13.0</v>
      </c>
      <c r="G43" s="38">
        <v>0.1313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32.0</v>
      </c>
      <c r="E44" s="38">
        <v>0.0656</v>
      </c>
      <c r="F44" s="10">
        <v>7.0</v>
      </c>
      <c r="G44" s="38">
        <v>0.0707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12.0</v>
      </c>
      <c r="E45" s="38">
        <v>0.0246</v>
      </c>
      <c r="F45" s="10">
        <v>5.0</v>
      </c>
      <c r="G45" s="38">
        <v>0.0505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-0.002635562739</v>
      </c>
      <c r="I46" s="38">
        <v>-0.0026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197.0</v>
      </c>
      <c r="E5" s="38">
        <v>0.4037</v>
      </c>
      <c r="F5" s="10">
        <v>49.0</v>
      </c>
      <c r="G5" s="38">
        <v>0.4949</v>
      </c>
      <c r="H5" s="10">
        <v>23.0</v>
      </c>
      <c r="I5" s="38">
        <v>0.575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291.0</v>
      </c>
      <c r="E6" s="38">
        <v>0.5963</v>
      </c>
      <c r="F6" s="10">
        <v>50.0</v>
      </c>
      <c r="G6" s="38">
        <v>0.5051</v>
      </c>
      <c r="H6" s="10">
        <v>10.0</v>
      </c>
      <c r="I6" s="38">
        <v>0.25</v>
      </c>
      <c r="J6" s="10" t="s">
        <v>40</v>
      </c>
    </row>
    <row r="7">
      <c r="A7" s="10" t="s">
        <v>47</v>
      </c>
      <c r="D7" s="10">
        <v>254.0</v>
      </c>
      <c r="E7" s="38">
        <v>0.5205</v>
      </c>
      <c r="F7" s="10">
        <v>45.0</v>
      </c>
      <c r="G7" s="38">
        <v>0.4545</v>
      </c>
      <c r="H7" s="10">
        <v>5.0</v>
      </c>
      <c r="I7" s="38">
        <v>0.125</v>
      </c>
      <c r="J7" s="10" t="s">
        <v>40</v>
      </c>
      <c r="L7" s="10">
        <v>1.0</v>
      </c>
    </row>
    <row r="8">
      <c r="A8" s="10" t="s">
        <v>48</v>
      </c>
      <c r="D8" s="10">
        <v>234.0</v>
      </c>
      <c r="E8" s="38">
        <v>0.4795</v>
      </c>
      <c r="F8" s="10">
        <v>56.0</v>
      </c>
      <c r="G8" s="38">
        <v>0.5657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158.0</v>
      </c>
      <c r="E9" s="38">
        <v>0.3238</v>
      </c>
      <c r="F9" s="10">
        <v>35.0</v>
      </c>
      <c r="G9" s="38">
        <v>0.3535</v>
      </c>
      <c r="H9" s="10">
        <v>8.0</v>
      </c>
      <c r="I9" s="38">
        <v>0.2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30.0</v>
      </c>
      <c r="E11" s="38">
        <v>0.0615</v>
      </c>
      <c r="F11" s="10">
        <v>8.0</v>
      </c>
      <c r="G11" s="38">
        <v>0.0808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142.0</v>
      </c>
      <c r="E12" s="38">
        <v>0.291</v>
      </c>
      <c r="F12" s="10">
        <v>39.0</v>
      </c>
      <c r="G12" s="38">
        <v>0.3939</v>
      </c>
      <c r="H12" s="10">
        <v>15.0</v>
      </c>
      <c r="I12" s="38">
        <v>0.375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70.0</v>
      </c>
      <c r="E13" s="38">
        <v>0.1434</v>
      </c>
      <c r="F13" s="10">
        <v>19.0</v>
      </c>
      <c r="G13" s="38">
        <v>0.1919</v>
      </c>
      <c r="H13" s="10">
        <v>14.0</v>
      </c>
      <c r="I13" s="38">
        <v>0.35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66.0</v>
      </c>
      <c r="E14" s="38">
        <v>0.1352</v>
      </c>
      <c r="F14" s="10">
        <v>9.0</v>
      </c>
      <c r="G14" s="38">
        <v>0.0909</v>
      </c>
      <c r="H14" s="10">
        <v>8.0</v>
      </c>
      <c r="I14" s="38">
        <v>0.2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30.0</v>
      </c>
      <c r="E18" s="38">
        <v>0.0615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102.0</v>
      </c>
      <c r="E19" s="38">
        <v>0.209</v>
      </c>
      <c r="F19" s="10">
        <v>6.0</v>
      </c>
      <c r="G19" s="38">
        <v>0.0606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15.0</v>
      </c>
      <c r="E21" s="38">
        <v>0.0307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244.0</v>
      </c>
      <c r="E22" s="38">
        <v>0.5</v>
      </c>
      <c r="F22" s="10">
        <v>65.0</v>
      </c>
      <c r="G22" s="38">
        <v>0.6566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190.0</v>
      </c>
      <c r="E23" s="38">
        <v>0.3893</v>
      </c>
      <c r="F23" s="10">
        <v>23.0</v>
      </c>
      <c r="G23" s="38">
        <v>0.2323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56.0</v>
      </c>
      <c r="E24" s="38">
        <v>0.1148</v>
      </c>
      <c r="F24" s="10">
        <v>13.0</v>
      </c>
      <c r="G24" s="38">
        <v>0.1313</v>
      </c>
      <c r="H24" s="10">
        <v>11.0</v>
      </c>
      <c r="I24" s="38">
        <v>0.275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48.0</v>
      </c>
      <c r="E25" s="38">
        <v>0.0984</v>
      </c>
      <c r="F25" s="10">
        <v>17.0</v>
      </c>
      <c r="G25" s="38">
        <v>0.1717</v>
      </c>
      <c r="H25" s="10">
        <v>4.0</v>
      </c>
      <c r="I25" s="38">
        <v>0.1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105.0</v>
      </c>
      <c r="E26" s="38">
        <v>0.2152</v>
      </c>
      <c r="F26" s="10">
        <v>33.0</v>
      </c>
      <c r="G26" s="38">
        <v>0.3333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171.0</v>
      </c>
      <c r="E27" s="38">
        <v>0.3504</v>
      </c>
      <c r="F27" s="10">
        <v>42.0</v>
      </c>
      <c r="G27" s="38">
        <v>0.4242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134.0</v>
      </c>
      <c r="E28" s="38">
        <v>0.2746</v>
      </c>
      <c r="F28" s="10">
        <v>24.0</v>
      </c>
      <c r="G28" s="38">
        <v>0.2424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14.0</v>
      </c>
      <c r="E29" s="38">
        <v>0.0287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131.0</v>
      </c>
      <c r="E32" s="38">
        <v>0.2684</v>
      </c>
      <c r="F32" s="10">
        <v>32.0</v>
      </c>
      <c r="G32" s="38">
        <v>0.3232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14.0</v>
      </c>
      <c r="E33" s="38">
        <v>0.0287</v>
      </c>
      <c r="F33" s="10">
        <v>2.0</v>
      </c>
      <c r="G33" s="38">
        <v>0.0202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62.0</v>
      </c>
      <c r="E36" s="38">
        <v>0.127</v>
      </c>
      <c r="F36" s="10">
        <v>9.0</v>
      </c>
      <c r="G36" s="38">
        <v>0.0909</v>
      </c>
      <c r="H36" s="10">
        <v>0.0</v>
      </c>
      <c r="I36" s="38">
        <v>0.0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284.0</v>
      </c>
      <c r="E37" s="38">
        <v>0.582</v>
      </c>
      <c r="F37" s="10">
        <v>51.0</v>
      </c>
      <c r="G37" s="38">
        <v>0.5152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192.0</v>
      </c>
      <c r="E38" s="38">
        <v>0.3934</v>
      </c>
      <c r="F38" s="10">
        <v>34.0</v>
      </c>
      <c r="G38" s="38">
        <v>0.3434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20.0</v>
      </c>
      <c r="E39" s="38">
        <v>0.041</v>
      </c>
      <c r="F39" s="10">
        <v>3.0</v>
      </c>
      <c r="G39" s="38">
        <v>0.0303</v>
      </c>
      <c r="H39" s="10">
        <v>2.0</v>
      </c>
      <c r="I39" s="38">
        <v>0.05</v>
      </c>
      <c r="J39" s="10" t="s">
        <v>40</v>
      </c>
      <c r="K39" s="10" t="s">
        <v>43</v>
      </c>
    </row>
    <row r="40">
      <c r="A40" s="10" t="s">
        <v>9</v>
      </c>
      <c r="D40" s="10">
        <v>198.0</v>
      </c>
      <c r="E40" s="38">
        <v>0.4057</v>
      </c>
      <c r="F40" s="10">
        <v>50.0</v>
      </c>
      <c r="G40" s="38">
        <v>0.5051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43.0</v>
      </c>
      <c r="E41" s="38">
        <v>0.0881</v>
      </c>
      <c r="F41" s="10">
        <v>8.0</v>
      </c>
      <c r="G41" s="38">
        <v>0.0808</v>
      </c>
      <c r="H41" s="10">
        <v>1.0</v>
      </c>
      <c r="I41" s="38">
        <v>0.025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20.0</v>
      </c>
      <c r="E42" s="38">
        <v>0.041</v>
      </c>
      <c r="F42" s="10">
        <v>3.0</v>
      </c>
      <c r="G42" s="38">
        <v>0.0303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59.0</v>
      </c>
      <c r="E43" s="38">
        <v>0.1209</v>
      </c>
      <c r="F43" s="10">
        <v>13.0</v>
      </c>
      <c r="G43" s="38">
        <v>0.1313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31.0</v>
      </c>
      <c r="E44" s="38">
        <v>0.0635</v>
      </c>
      <c r="F44" s="10">
        <v>3.0</v>
      </c>
      <c r="G44" s="38">
        <v>0.0303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5.0</v>
      </c>
      <c r="E45" s="38">
        <v>0.0102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-0.007135134165</v>
      </c>
      <c r="I46" s="38">
        <v>-0.0071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200.0</v>
      </c>
      <c r="E5" s="38">
        <v>0.4098</v>
      </c>
      <c r="F5" s="10">
        <v>48.0</v>
      </c>
      <c r="G5" s="38">
        <v>0.4848</v>
      </c>
      <c r="H5" s="10">
        <v>25.0</v>
      </c>
      <c r="I5" s="38">
        <v>0.625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288.0</v>
      </c>
      <c r="E6" s="38">
        <v>0.5902</v>
      </c>
      <c r="F6" s="10">
        <v>51.0</v>
      </c>
      <c r="G6" s="38">
        <v>0.5152</v>
      </c>
      <c r="H6" s="10">
        <v>8.0</v>
      </c>
      <c r="I6" s="38">
        <v>0.2</v>
      </c>
      <c r="J6" s="10" t="s">
        <v>40</v>
      </c>
    </row>
    <row r="7">
      <c r="A7" s="10" t="s">
        <v>47</v>
      </c>
      <c r="D7" s="10">
        <v>235.0</v>
      </c>
      <c r="E7" s="38">
        <v>0.4816</v>
      </c>
      <c r="F7" s="10">
        <v>44.0</v>
      </c>
      <c r="G7" s="38">
        <v>0.4444</v>
      </c>
      <c r="H7" s="10">
        <v>5.0</v>
      </c>
      <c r="I7" s="38">
        <v>0.125</v>
      </c>
      <c r="J7" s="10" t="s">
        <v>40</v>
      </c>
      <c r="L7" s="10">
        <v>0.0</v>
      </c>
    </row>
    <row r="8">
      <c r="A8" s="10" t="s">
        <v>48</v>
      </c>
      <c r="D8" s="10">
        <v>253.0</v>
      </c>
      <c r="E8" s="38">
        <v>0.5184</v>
      </c>
      <c r="F8" s="10">
        <v>57.0</v>
      </c>
      <c r="G8" s="38">
        <v>0.5758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161.0</v>
      </c>
      <c r="E9" s="38">
        <v>0.3299</v>
      </c>
      <c r="F9" s="10">
        <v>34.0</v>
      </c>
      <c r="G9" s="38">
        <v>0.3434</v>
      </c>
      <c r="H9" s="10">
        <v>4.0</v>
      </c>
      <c r="I9" s="38">
        <v>0.1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0.0902</v>
      </c>
      <c r="F11" s="10">
        <v>11.0</v>
      </c>
      <c r="G11" s="38">
        <v>0.1111</v>
      </c>
      <c r="H11" s="10">
        <v>4.0</v>
      </c>
      <c r="I11" s="38">
        <v>0.1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149.0</v>
      </c>
      <c r="E12" s="38">
        <v>0.3053</v>
      </c>
      <c r="F12" s="10">
        <v>44.0</v>
      </c>
      <c r="G12" s="38">
        <v>0.4444</v>
      </c>
      <c r="H12" s="10">
        <v>18.0</v>
      </c>
      <c r="I12" s="38">
        <v>0.45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75.0</v>
      </c>
      <c r="E13" s="38">
        <v>0.1537</v>
      </c>
      <c r="F13" s="10">
        <v>21.0</v>
      </c>
      <c r="G13" s="38">
        <v>0.2121</v>
      </c>
      <c r="H13" s="10">
        <v>18.0</v>
      </c>
      <c r="I13" s="38">
        <v>0.45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76.0</v>
      </c>
      <c r="E14" s="38">
        <v>0.1557</v>
      </c>
      <c r="F14" s="10">
        <v>13.0</v>
      </c>
      <c r="G14" s="38">
        <v>0.1313</v>
      </c>
      <c r="H14" s="10">
        <v>8.0</v>
      </c>
      <c r="I14" s="38">
        <v>0.2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8.0</v>
      </c>
      <c r="E18" s="38">
        <v>0.0164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113.0</v>
      </c>
      <c r="E19" s="38">
        <v>0.2316</v>
      </c>
      <c r="F19" s="10">
        <v>15.0</v>
      </c>
      <c r="G19" s="38">
        <v>0.1515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6.0</v>
      </c>
      <c r="E21" s="38">
        <v>0.0123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200.0</v>
      </c>
      <c r="E22" s="38">
        <v>0.4098</v>
      </c>
      <c r="F22" s="10">
        <v>48.0</v>
      </c>
      <c r="G22" s="38">
        <v>0.4848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230.0</v>
      </c>
      <c r="E23" s="38">
        <v>0.4713</v>
      </c>
      <c r="F23" s="10">
        <v>35.0</v>
      </c>
      <c r="G23" s="38">
        <v>0.3535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101.0</v>
      </c>
      <c r="E24" s="38">
        <v>0.207</v>
      </c>
      <c r="F24" s="10">
        <v>30.0</v>
      </c>
      <c r="G24" s="38">
        <v>0.303</v>
      </c>
      <c r="H24" s="10">
        <v>12.0</v>
      </c>
      <c r="I24" s="38">
        <v>0.3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64.0</v>
      </c>
      <c r="E25" s="38">
        <v>0.1311</v>
      </c>
      <c r="F25" s="10">
        <v>23.0</v>
      </c>
      <c r="G25" s="38">
        <v>0.2323</v>
      </c>
      <c r="H25" s="10">
        <v>12.0</v>
      </c>
      <c r="I25" s="38">
        <v>0.3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81.0</v>
      </c>
      <c r="E26" s="38">
        <v>0.166</v>
      </c>
      <c r="F26" s="10">
        <v>23.0</v>
      </c>
      <c r="G26" s="38">
        <v>0.2323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113.0</v>
      </c>
      <c r="E27" s="38">
        <v>0.2316</v>
      </c>
      <c r="F27" s="10">
        <v>26.0</v>
      </c>
      <c r="G27" s="38">
        <v>0.2626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127.0</v>
      </c>
      <c r="E28" s="38">
        <v>0.2602</v>
      </c>
      <c r="F28" s="10">
        <v>29.0</v>
      </c>
      <c r="G28" s="38">
        <v>0.2929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15.0</v>
      </c>
      <c r="E29" s="38">
        <v>0.0307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125.0</v>
      </c>
      <c r="E32" s="38">
        <v>0.2561</v>
      </c>
      <c r="F32" s="10">
        <v>37.0</v>
      </c>
      <c r="G32" s="38">
        <v>0.3737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16.0</v>
      </c>
      <c r="E33" s="38">
        <v>0.0328</v>
      </c>
      <c r="F33" s="10">
        <v>2.0</v>
      </c>
      <c r="G33" s="38">
        <v>0.0202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47.0</v>
      </c>
      <c r="E36" s="38">
        <v>0.0963</v>
      </c>
      <c r="F36" s="10">
        <v>5.0</v>
      </c>
      <c r="G36" s="38">
        <v>0.0505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279.0</v>
      </c>
      <c r="E37" s="38">
        <v>0.5717</v>
      </c>
      <c r="F37" s="10">
        <v>48.0</v>
      </c>
      <c r="G37" s="38">
        <v>0.4848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178.0</v>
      </c>
      <c r="E38" s="38">
        <v>0.3648</v>
      </c>
      <c r="F38" s="10">
        <v>38.0</v>
      </c>
      <c r="G38" s="38">
        <v>0.3838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23.0</v>
      </c>
      <c r="E39" s="38">
        <v>0.0471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198.0</v>
      </c>
      <c r="E40" s="38">
        <v>0.4057</v>
      </c>
      <c r="F40" s="10">
        <v>52.0</v>
      </c>
      <c r="G40" s="38">
        <v>0.5253</v>
      </c>
      <c r="H40" s="10">
        <v>21.0</v>
      </c>
      <c r="I40" s="38">
        <v>0.525</v>
      </c>
      <c r="J40" s="10" t="s">
        <v>40</v>
      </c>
    </row>
    <row r="41">
      <c r="A41" s="10" t="s">
        <v>6</v>
      </c>
      <c r="D41" s="10">
        <v>50.0</v>
      </c>
      <c r="E41" s="38">
        <v>0.1025</v>
      </c>
      <c r="F41" s="10">
        <v>8.0</v>
      </c>
      <c r="G41" s="38">
        <v>0.0808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26.0</v>
      </c>
      <c r="E42" s="38">
        <v>0.0533</v>
      </c>
      <c r="F42" s="10">
        <v>3.0</v>
      </c>
      <c r="G42" s="38">
        <v>0.0303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68.0</v>
      </c>
      <c r="E43" s="38">
        <v>0.1393</v>
      </c>
      <c r="F43" s="10">
        <v>16.0</v>
      </c>
      <c r="G43" s="38">
        <v>0.1616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27.0</v>
      </c>
      <c r="E44" s="38">
        <v>0.0553</v>
      </c>
      <c r="F44" s="10">
        <v>1.0</v>
      </c>
      <c r="G44" s="38">
        <v>0.0101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5.0</v>
      </c>
      <c r="E45" s="38">
        <v>0.0102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-0.007897191344</v>
      </c>
      <c r="I46" s="38">
        <v>-0.0079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208.0</v>
      </c>
      <c r="E5" s="38">
        <v>0.4262</v>
      </c>
      <c r="F5" s="10">
        <v>52.0</v>
      </c>
      <c r="G5" s="38">
        <v>0.5253</v>
      </c>
      <c r="H5" s="10">
        <v>26.0</v>
      </c>
      <c r="I5" s="38">
        <v>0.65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280.0</v>
      </c>
      <c r="E6" s="38">
        <v>0.5738</v>
      </c>
      <c r="F6" s="10">
        <v>47.0</v>
      </c>
      <c r="G6" s="38">
        <v>0.4747</v>
      </c>
      <c r="H6" s="10">
        <v>7.0</v>
      </c>
      <c r="I6" s="38">
        <v>0.175</v>
      </c>
      <c r="J6" s="10" t="s">
        <v>40</v>
      </c>
    </row>
    <row r="7">
      <c r="A7" s="10" t="s">
        <v>47</v>
      </c>
      <c r="D7" s="10">
        <v>243.0</v>
      </c>
      <c r="E7" s="38">
        <v>0.498</v>
      </c>
      <c r="F7" s="10">
        <v>46.0</v>
      </c>
      <c r="G7" s="38">
        <v>0.4646</v>
      </c>
      <c r="H7" s="10">
        <v>6.0</v>
      </c>
      <c r="I7" s="38">
        <v>0.15</v>
      </c>
      <c r="J7" s="10" t="s">
        <v>40</v>
      </c>
      <c r="L7" s="10">
        <v>0.0</v>
      </c>
    </row>
    <row r="8">
      <c r="A8" s="10" t="s">
        <v>48</v>
      </c>
      <c r="D8" s="10">
        <v>245.0</v>
      </c>
      <c r="E8" s="38">
        <v>0.502</v>
      </c>
      <c r="F8" s="10">
        <v>55.0</v>
      </c>
      <c r="G8" s="38">
        <v>0.5556</v>
      </c>
      <c r="H8" s="10">
        <v>27.0</v>
      </c>
      <c r="I8" s="38">
        <v>0.675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152.0</v>
      </c>
      <c r="E9" s="38">
        <v>0.3115</v>
      </c>
      <c r="F9" s="10">
        <v>34.0</v>
      </c>
      <c r="G9" s="38">
        <v>0.3434</v>
      </c>
      <c r="H9" s="10">
        <v>5.0</v>
      </c>
      <c r="I9" s="38">
        <v>0.125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36.0</v>
      </c>
      <c r="E11" s="38">
        <v>0.0738</v>
      </c>
      <c r="F11" s="10">
        <v>12.0</v>
      </c>
      <c r="G11" s="38">
        <v>0.1212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197.0</v>
      </c>
      <c r="E12" s="38">
        <v>0.4037</v>
      </c>
      <c r="F12" s="10">
        <v>56.0</v>
      </c>
      <c r="G12" s="38">
        <v>0.5657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80.0</v>
      </c>
      <c r="E13" s="38">
        <v>0.1639</v>
      </c>
      <c r="F13" s="10">
        <v>26.0</v>
      </c>
      <c r="G13" s="38">
        <v>0.2626</v>
      </c>
      <c r="H13" s="10">
        <v>24.0</v>
      </c>
      <c r="I13" s="38">
        <v>0.6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63.0</v>
      </c>
      <c r="E14" s="38">
        <v>0.1291</v>
      </c>
      <c r="F14" s="10">
        <v>11.0</v>
      </c>
      <c r="G14" s="38">
        <v>0.1111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31.0</v>
      </c>
      <c r="E18" s="38">
        <v>0.0635</v>
      </c>
      <c r="F18" s="10">
        <v>6.0</v>
      </c>
      <c r="G18" s="38">
        <v>0.0606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30.0</v>
      </c>
      <c r="E19" s="38">
        <v>0.0615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6.0</v>
      </c>
      <c r="G21" s="38">
        <v>0.0606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197.0</v>
      </c>
      <c r="E22" s="38">
        <v>0.4037</v>
      </c>
      <c r="F22" s="10">
        <v>50.0</v>
      </c>
      <c r="G22" s="38">
        <v>0.5051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239.0</v>
      </c>
      <c r="E23" s="38">
        <v>0.4898</v>
      </c>
      <c r="F23" s="10">
        <v>42.0</v>
      </c>
      <c r="G23" s="38">
        <v>0.4242</v>
      </c>
      <c r="H23" s="10">
        <v>9.0</v>
      </c>
      <c r="I23" s="38">
        <v>0.225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115.0</v>
      </c>
      <c r="E24" s="38">
        <v>0.2357</v>
      </c>
      <c r="F24" s="10">
        <v>32.0</v>
      </c>
      <c r="G24" s="38">
        <v>0.3232</v>
      </c>
      <c r="H24" s="10">
        <v>7.0</v>
      </c>
      <c r="I24" s="38">
        <v>0.175</v>
      </c>
      <c r="J24" s="10" t="s">
        <v>40</v>
      </c>
      <c r="K24" s="10" t="s">
        <v>79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100.0</v>
      </c>
      <c r="E25" s="38">
        <v>0.2049</v>
      </c>
      <c r="F25" s="10">
        <v>36.0</v>
      </c>
      <c r="G25" s="38">
        <v>0.3636</v>
      </c>
      <c r="H25" s="10">
        <v>24.0</v>
      </c>
      <c r="I25" s="38">
        <v>0.6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102.0</v>
      </c>
      <c r="E26" s="38">
        <v>0.209</v>
      </c>
      <c r="F26" s="10">
        <v>25.0</v>
      </c>
      <c r="G26" s="38">
        <v>0.2525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98.0</v>
      </c>
      <c r="E27" s="38">
        <v>0.2008</v>
      </c>
      <c r="F27" s="10">
        <v>19.0</v>
      </c>
      <c r="G27" s="38">
        <v>0.1919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100.0</v>
      </c>
      <c r="E28" s="38">
        <v>0.2049</v>
      </c>
      <c r="F28" s="10">
        <v>18.0</v>
      </c>
      <c r="G28" s="38">
        <v>0.1818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26.0</v>
      </c>
      <c r="E29" s="38">
        <v>0.0533</v>
      </c>
      <c r="F29" s="10">
        <v>5.0</v>
      </c>
      <c r="G29" s="38">
        <v>0.0505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111.0</v>
      </c>
      <c r="E32" s="38">
        <v>0.2275</v>
      </c>
      <c r="F32" s="10">
        <v>25.0</v>
      </c>
      <c r="G32" s="38">
        <v>0.2525</v>
      </c>
      <c r="H32" s="10">
        <v>16.0</v>
      </c>
      <c r="I32" s="38">
        <v>0.4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27.0</v>
      </c>
      <c r="E33" s="38">
        <v>0.0553</v>
      </c>
      <c r="F33" s="10">
        <v>4.0</v>
      </c>
      <c r="G33" s="38">
        <v>0.0404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44.0</v>
      </c>
      <c r="E36" s="38">
        <v>0.0902</v>
      </c>
      <c r="F36" s="10">
        <v>5.0</v>
      </c>
      <c r="G36" s="38">
        <v>0.0505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273.0</v>
      </c>
      <c r="E37" s="38">
        <v>0.5594</v>
      </c>
      <c r="F37" s="10">
        <v>45.0</v>
      </c>
      <c r="G37" s="38">
        <v>0.4545</v>
      </c>
      <c r="H37" s="10">
        <v>14.0</v>
      </c>
      <c r="I37" s="38">
        <v>0.35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150.0</v>
      </c>
      <c r="E38" s="38">
        <v>0.3074</v>
      </c>
      <c r="F38" s="10">
        <v>26.0</v>
      </c>
      <c r="G38" s="38">
        <v>0.2626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212.0</v>
      </c>
      <c r="E40" s="38">
        <v>0.4344</v>
      </c>
      <c r="F40" s="10">
        <v>56.0</v>
      </c>
      <c r="G40" s="38">
        <v>0.5657</v>
      </c>
      <c r="H40" s="10">
        <v>27.0</v>
      </c>
      <c r="I40" s="38">
        <v>0.675</v>
      </c>
      <c r="J40" s="10" t="s">
        <v>40</v>
      </c>
    </row>
    <row r="41">
      <c r="A41" s="10" t="s">
        <v>6</v>
      </c>
      <c r="D41" s="10">
        <v>62.0</v>
      </c>
      <c r="E41" s="38">
        <v>0.127</v>
      </c>
      <c r="F41" s="10">
        <v>8.0</v>
      </c>
      <c r="G41" s="38">
        <v>0.0808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43.0</v>
      </c>
      <c r="E42" s="38">
        <v>0.0881</v>
      </c>
      <c r="F42" s="10">
        <v>9.0</v>
      </c>
      <c r="G42" s="38">
        <v>0.0909</v>
      </c>
      <c r="H42" s="10">
        <v>6.0</v>
      </c>
      <c r="I42" s="38">
        <v>0.15</v>
      </c>
      <c r="J42" s="10" t="s">
        <v>40</v>
      </c>
    </row>
    <row r="43">
      <c r="A43" s="10" t="s">
        <v>80</v>
      </c>
      <c r="D43" s="10">
        <v>69.0</v>
      </c>
      <c r="E43" s="38">
        <v>0.1414</v>
      </c>
      <c r="F43" s="10">
        <v>15.0</v>
      </c>
      <c r="G43" s="38">
        <v>0.1515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17.0</v>
      </c>
      <c r="E44" s="38">
        <v>0.0348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16.0</v>
      </c>
      <c r="E45" s="38">
        <v>0.0328</v>
      </c>
      <c r="F45" s="10">
        <v>5.0</v>
      </c>
      <c r="G45" s="38">
        <v>0.0505</v>
      </c>
      <c r="H45" s="10">
        <v>3.0</v>
      </c>
      <c r="I45" s="38">
        <v>0.075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-0.02082758868</v>
      </c>
      <c r="I46" s="38">
        <v>-0.0208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215.0</v>
      </c>
      <c r="E5" s="38">
        <v>0.4406</v>
      </c>
      <c r="F5" s="10">
        <v>53.0</v>
      </c>
      <c r="G5" s="38">
        <v>0.5354</v>
      </c>
      <c r="H5" s="10">
        <v>27.0</v>
      </c>
      <c r="I5" s="38">
        <v>0.675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273.0</v>
      </c>
      <c r="E6" s="38">
        <v>0.5594</v>
      </c>
      <c r="F6" s="10">
        <v>46.0</v>
      </c>
      <c r="G6" s="38">
        <v>0.4646</v>
      </c>
      <c r="H6" s="10">
        <v>6.0</v>
      </c>
      <c r="I6" s="38">
        <v>0.15</v>
      </c>
      <c r="J6" s="10" t="s">
        <v>40</v>
      </c>
    </row>
    <row r="7">
      <c r="A7" s="10" t="s">
        <v>47</v>
      </c>
      <c r="D7" s="10">
        <v>250.0</v>
      </c>
      <c r="E7" s="38">
        <v>0.5123</v>
      </c>
      <c r="F7" s="10">
        <v>43.0</v>
      </c>
      <c r="G7" s="38">
        <v>0.4343</v>
      </c>
      <c r="H7" s="10">
        <v>5.0</v>
      </c>
      <c r="I7" s="38">
        <v>0.125</v>
      </c>
      <c r="J7" s="10" t="s">
        <v>40</v>
      </c>
      <c r="L7" s="10">
        <v>1.0</v>
      </c>
    </row>
    <row r="8">
      <c r="A8" s="10" t="s">
        <v>48</v>
      </c>
      <c r="D8" s="10">
        <v>238.0</v>
      </c>
      <c r="E8" s="38">
        <v>0.4877</v>
      </c>
      <c r="F8" s="10">
        <v>58.0</v>
      </c>
      <c r="G8" s="38">
        <v>0.5859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150.0</v>
      </c>
      <c r="E9" s="38">
        <v>0.3074</v>
      </c>
      <c r="F9" s="10">
        <v>35.0</v>
      </c>
      <c r="G9" s="38">
        <v>0.3535</v>
      </c>
      <c r="H9" s="10">
        <v>6.0</v>
      </c>
      <c r="I9" s="38">
        <v>0.15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30.0</v>
      </c>
      <c r="E11" s="38">
        <v>0.0615</v>
      </c>
      <c r="F11" s="10">
        <v>10.0</v>
      </c>
      <c r="G11" s="38">
        <v>0.101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188.0</v>
      </c>
      <c r="E12" s="38">
        <v>0.3852</v>
      </c>
      <c r="F12" s="10">
        <v>49.0</v>
      </c>
      <c r="G12" s="38">
        <v>0.4949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74.0</v>
      </c>
      <c r="E13" s="38">
        <v>0.1516</v>
      </c>
      <c r="F13" s="10">
        <v>23.0</v>
      </c>
      <c r="G13" s="38">
        <v>0.2323</v>
      </c>
      <c r="H13" s="10">
        <v>25.0</v>
      </c>
      <c r="I13" s="38">
        <v>0.625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64.0</v>
      </c>
      <c r="E14" s="38">
        <v>0.1311</v>
      </c>
      <c r="F14" s="10">
        <v>12.0</v>
      </c>
      <c r="G14" s="38">
        <v>0.1212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27.0</v>
      </c>
      <c r="E18" s="38">
        <v>0.0553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15.0</v>
      </c>
      <c r="E19" s="38">
        <v>0.0307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6.0</v>
      </c>
      <c r="E20" s="38">
        <v>0.0123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185.0</v>
      </c>
      <c r="E22" s="38">
        <v>0.3791</v>
      </c>
      <c r="F22" s="10">
        <v>47.0</v>
      </c>
      <c r="G22" s="38">
        <v>0.4747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247.0</v>
      </c>
      <c r="E23" s="38">
        <v>0.5061</v>
      </c>
      <c r="F23" s="10">
        <v>42.0</v>
      </c>
      <c r="G23" s="38">
        <v>0.4242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72.0</v>
      </c>
      <c r="E24" s="38">
        <v>0.1475</v>
      </c>
      <c r="F24" s="10">
        <v>12.0</v>
      </c>
      <c r="G24" s="38">
        <v>0.1212</v>
      </c>
      <c r="H24" s="10">
        <v>8.0</v>
      </c>
      <c r="I24" s="38">
        <v>0.2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94.0</v>
      </c>
      <c r="E25" s="38">
        <v>0.1926</v>
      </c>
      <c r="F25" s="10">
        <v>35.0</v>
      </c>
      <c r="G25" s="38">
        <v>0.3535</v>
      </c>
      <c r="H25" s="10">
        <v>19.0</v>
      </c>
      <c r="I25" s="38">
        <v>0.475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96.0</v>
      </c>
      <c r="E26" s="38">
        <v>0.1967</v>
      </c>
      <c r="F26" s="10">
        <v>19.0</v>
      </c>
      <c r="G26" s="38">
        <v>0.1919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65.0</v>
      </c>
      <c r="E27" s="38">
        <v>0.1332</v>
      </c>
      <c r="F27" s="10">
        <v>9.0</v>
      </c>
      <c r="G27" s="38">
        <v>0.0909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108.0</v>
      </c>
      <c r="E28" s="38">
        <v>0.2213</v>
      </c>
      <c r="F28" s="10">
        <v>26.0</v>
      </c>
      <c r="G28" s="38">
        <v>0.2626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23.0</v>
      </c>
      <c r="E29" s="38">
        <v>0.0471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125.0</v>
      </c>
      <c r="E32" s="38">
        <v>0.2561</v>
      </c>
      <c r="F32" s="10">
        <v>40.0</v>
      </c>
      <c r="G32" s="38">
        <v>0.404</v>
      </c>
      <c r="H32" s="10">
        <v>11.0</v>
      </c>
      <c r="I32" s="38">
        <v>0.275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23.0</v>
      </c>
      <c r="E33" s="38">
        <v>0.0471</v>
      </c>
      <c r="F33" s="10">
        <v>1.0</v>
      </c>
      <c r="G33" s="38">
        <v>0.0101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45.0</v>
      </c>
      <c r="E36" s="38">
        <v>0.0922</v>
      </c>
      <c r="F36" s="10">
        <v>6.0</v>
      </c>
      <c r="G36" s="38">
        <v>0.0606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263.0</v>
      </c>
      <c r="E37" s="38">
        <v>0.5389</v>
      </c>
      <c r="F37" s="10">
        <v>40.0</v>
      </c>
      <c r="G37" s="38">
        <v>0.404</v>
      </c>
      <c r="H37" s="10">
        <v>13.0</v>
      </c>
      <c r="I37" s="38">
        <v>0.325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164.0</v>
      </c>
      <c r="E38" s="38">
        <v>0.3361</v>
      </c>
      <c r="F38" s="10">
        <v>40.0</v>
      </c>
      <c r="G38" s="38">
        <v>0.404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14.0</v>
      </c>
      <c r="E39" s="38">
        <v>0.0287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219.0</v>
      </c>
      <c r="E40" s="38">
        <v>0.4488</v>
      </c>
      <c r="F40" s="10">
        <v>60.0</v>
      </c>
      <c r="G40" s="38">
        <v>0.6061</v>
      </c>
      <c r="H40" s="10">
        <v>28.0</v>
      </c>
      <c r="I40" s="38">
        <v>0.7</v>
      </c>
      <c r="J40" s="10" t="s">
        <v>40</v>
      </c>
    </row>
    <row r="41">
      <c r="A41" s="10" t="s">
        <v>6</v>
      </c>
      <c r="D41" s="10">
        <v>63.0</v>
      </c>
      <c r="E41" s="38">
        <v>0.1291</v>
      </c>
      <c r="F41" s="10">
        <v>7.0</v>
      </c>
      <c r="G41" s="38">
        <v>0.0707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39.0</v>
      </c>
      <c r="E42" s="38">
        <v>0.0799</v>
      </c>
      <c r="F42" s="10">
        <v>6.0</v>
      </c>
      <c r="G42" s="38">
        <v>0.0606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66.0</v>
      </c>
      <c r="E43" s="38">
        <v>0.1352</v>
      </c>
      <c r="F43" s="10">
        <v>11.0</v>
      </c>
      <c r="G43" s="38">
        <v>0.1111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22.0</v>
      </c>
      <c r="E44" s="38">
        <v>0.0451</v>
      </c>
      <c r="F44" s="10">
        <v>1.0</v>
      </c>
      <c r="G44" s="38">
        <v>0.0101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11.0</v>
      </c>
      <c r="E45" s="38">
        <v>0.0225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-0.01385469537</v>
      </c>
      <c r="I46" s="38">
        <v>-0.0139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215.0</v>
      </c>
      <c r="E5" s="38">
        <v>0.4406</v>
      </c>
      <c r="F5" s="10">
        <v>52.0</v>
      </c>
      <c r="G5" s="38">
        <v>0.5253</v>
      </c>
      <c r="H5" s="10">
        <v>29.0</v>
      </c>
      <c r="I5" s="38">
        <v>0.725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273.0</v>
      </c>
      <c r="E6" s="38">
        <v>0.5594</v>
      </c>
      <c r="F6" s="10">
        <v>47.0</v>
      </c>
      <c r="G6" s="38">
        <v>0.4747</v>
      </c>
      <c r="H6" s="10">
        <v>4.0</v>
      </c>
      <c r="I6" s="38">
        <v>0.1</v>
      </c>
      <c r="J6" s="10" t="s">
        <v>40</v>
      </c>
    </row>
    <row r="7">
      <c r="A7" s="10" t="s">
        <v>47</v>
      </c>
      <c r="D7" s="10">
        <v>255.0</v>
      </c>
      <c r="E7" s="38">
        <v>0.5225</v>
      </c>
      <c r="F7" s="10">
        <v>42.0</v>
      </c>
      <c r="G7" s="38">
        <v>0.4242</v>
      </c>
      <c r="H7" s="10">
        <v>4.0</v>
      </c>
      <c r="I7" s="38">
        <v>0.1</v>
      </c>
      <c r="J7" s="10" t="s">
        <v>40</v>
      </c>
      <c r="L7" s="10">
        <v>1.0</v>
      </c>
    </row>
    <row r="8">
      <c r="A8" s="10" t="s">
        <v>48</v>
      </c>
      <c r="D8" s="10">
        <v>233.0</v>
      </c>
      <c r="E8" s="38">
        <v>0.4775</v>
      </c>
      <c r="F8" s="10">
        <v>59.0</v>
      </c>
      <c r="G8" s="38">
        <v>0.596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155.0</v>
      </c>
      <c r="E9" s="38">
        <v>0.3176</v>
      </c>
      <c r="F9" s="10">
        <v>38.0</v>
      </c>
      <c r="G9" s="38">
        <v>0.3838</v>
      </c>
      <c r="H9" s="10">
        <v>8.0</v>
      </c>
      <c r="I9" s="38">
        <v>0.2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35.0</v>
      </c>
      <c r="E11" s="38">
        <v>0.0717</v>
      </c>
      <c r="F11" s="10">
        <v>8.0</v>
      </c>
      <c r="G11" s="38">
        <v>0.0808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193.0</v>
      </c>
      <c r="E12" s="38">
        <v>0.3955</v>
      </c>
      <c r="F12" s="10">
        <v>50.0</v>
      </c>
      <c r="G12" s="38">
        <v>0.5051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80.0</v>
      </c>
      <c r="E13" s="38">
        <v>0.1639</v>
      </c>
      <c r="F13" s="10">
        <v>26.0</v>
      </c>
      <c r="G13" s="38">
        <v>0.2626</v>
      </c>
      <c r="H13" s="10">
        <v>25.0</v>
      </c>
      <c r="I13" s="38">
        <v>0.625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64.0</v>
      </c>
      <c r="E14" s="38">
        <v>0.1311</v>
      </c>
      <c r="F14" s="10">
        <v>11.0</v>
      </c>
      <c r="G14" s="38">
        <v>0.1111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17.0</v>
      </c>
      <c r="E18" s="38">
        <v>0.0348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11.0</v>
      </c>
      <c r="E19" s="38">
        <v>0.0225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3.0</v>
      </c>
      <c r="E20" s="38">
        <v>0.0061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184.0</v>
      </c>
      <c r="E22" s="38">
        <v>0.377</v>
      </c>
      <c r="F22" s="10">
        <v>41.0</v>
      </c>
      <c r="G22" s="38">
        <v>0.4141</v>
      </c>
      <c r="H22" s="10">
        <v>20.0</v>
      </c>
      <c r="I22" s="38">
        <v>0.5</v>
      </c>
      <c r="J22" s="10" t="s">
        <v>40</v>
      </c>
    </row>
    <row r="23">
      <c r="A23" s="10" t="s">
        <v>64</v>
      </c>
      <c r="D23" s="10">
        <v>246.0</v>
      </c>
      <c r="E23" s="38">
        <v>0.5041</v>
      </c>
      <c r="F23" s="10">
        <v>49.0</v>
      </c>
      <c r="G23" s="38">
        <v>0.4949</v>
      </c>
      <c r="H23" s="10">
        <v>11.0</v>
      </c>
      <c r="I23" s="38">
        <v>0.275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104.0</v>
      </c>
      <c r="E24" s="38">
        <v>0.2131</v>
      </c>
      <c r="F24" s="10">
        <v>22.0</v>
      </c>
      <c r="G24" s="38">
        <v>0.2222</v>
      </c>
      <c r="H24" s="10">
        <v>7.0</v>
      </c>
      <c r="I24" s="38">
        <v>0.175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86.0</v>
      </c>
      <c r="E25" s="38">
        <v>0.1762</v>
      </c>
      <c r="F25" s="10">
        <v>30.0</v>
      </c>
      <c r="G25" s="38">
        <v>0.303</v>
      </c>
      <c r="H25" s="10">
        <v>21.0</v>
      </c>
      <c r="I25" s="38">
        <v>0.525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92.0</v>
      </c>
      <c r="E26" s="38">
        <v>0.1885</v>
      </c>
      <c r="F26" s="10">
        <v>14.0</v>
      </c>
      <c r="G26" s="38">
        <v>0.1414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63.0</v>
      </c>
      <c r="E27" s="38">
        <v>0.1291</v>
      </c>
      <c r="F27" s="10">
        <v>8.0</v>
      </c>
      <c r="G27" s="38">
        <v>0.0808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108.0</v>
      </c>
      <c r="E28" s="38">
        <v>0.2213</v>
      </c>
      <c r="F28" s="10">
        <v>22.0</v>
      </c>
      <c r="G28" s="38">
        <v>0.2222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22.0</v>
      </c>
      <c r="E29" s="38">
        <v>0.0451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123.0</v>
      </c>
      <c r="E32" s="38">
        <v>0.252</v>
      </c>
      <c r="F32" s="10">
        <v>31.0</v>
      </c>
      <c r="G32" s="38">
        <v>0.3131</v>
      </c>
      <c r="H32" s="10">
        <v>11.0</v>
      </c>
      <c r="I32" s="38">
        <v>0.275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22.0</v>
      </c>
      <c r="E33" s="38">
        <v>0.0451</v>
      </c>
      <c r="F33" s="10">
        <v>1.0</v>
      </c>
      <c r="G33" s="38">
        <v>0.0101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43.0</v>
      </c>
      <c r="E36" s="38">
        <v>0.0881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276.0</v>
      </c>
      <c r="E37" s="38">
        <v>0.5656</v>
      </c>
      <c r="F37" s="10">
        <v>43.0</v>
      </c>
      <c r="G37" s="38">
        <v>0.4343</v>
      </c>
      <c r="H37" s="10">
        <v>19.0</v>
      </c>
      <c r="I37" s="38">
        <v>0.475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157.0</v>
      </c>
      <c r="E38" s="38">
        <v>0.3217</v>
      </c>
      <c r="F38" s="10">
        <v>29.0</v>
      </c>
      <c r="G38" s="38">
        <v>0.2929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207.0</v>
      </c>
      <c r="E40" s="38">
        <v>0.4242</v>
      </c>
      <c r="F40" s="10">
        <v>57.0</v>
      </c>
      <c r="G40" s="38">
        <v>0.5758</v>
      </c>
      <c r="H40" s="10">
        <v>22.0</v>
      </c>
      <c r="I40" s="38">
        <v>0.55</v>
      </c>
      <c r="J40" s="10" t="s">
        <v>40</v>
      </c>
    </row>
    <row r="41">
      <c r="A41" s="10" t="s">
        <v>6</v>
      </c>
      <c r="D41" s="10">
        <v>69.0</v>
      </c>
      <c r="E41" s="38">
        <v>0.1414</v>
      </c>
      <c r="F41" s="10">
        <v>10.0</v>
      </c>
      <c r="G41" s="38">
        <v>0.101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43.0</v>
      </c>
      <c r="E42" s="38">
        <v>0.0881</v>
      </c>
      <c r="F42" s="10">
        <v>7.0</v>
      </c>
      <c r="G42" s="38">
        <v>0.0707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66.0</v>
      </c>
      <c r="E43" s="38">
        <v>0.1352</v>
      </c>
      <c r="F43" s="10">
        <v>9.0</v>
      </c>
      <c r="G43" s="38">
        <v>0.0909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24.0</v>
      </c>
      <c r="E44" s="38">
        <v>0.0492</v>
      </c>
      <c r="F44" s="10">
        <v>2.0</v>
      </c>
      <c r="G44" s="38">
        <v>0.0202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17.0</v>
      </c>
      <c r="E45" s="38">
        <v>0.0348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-0.007346272065</v>
      </c>
      <c r="I46" s="38">
        <v>-0.0073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0.7</v>
      </c>
    </row>
    <row r="50">
      <c r="A50" s="10" t="s">
        <v>87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220.0</v>
      </c>
      <c r="E5" s="38">
        <v>0.4508</v>
      </c>
      <c r="F5" s="10">
        <v>53.0</v>
      </c>
      <c r="G5" s="38">
        <v>0.5354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268.0</v>
      </c>
      <c r="E6" s="38">
        <v>0.5492</v>
      </c>
      <c r="F6" s="10">
        <v>46.0</v>
      </c>
      <c r="G6" s="38">
        <v>0.4646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292.0</v>
      </c>
      <c r="E7" s="38">
        <v>0.5984</v>
      </c>
      <c r="F7" s="10">
        <v>56.0</v>
      </c>
      <c r="G7" s="38">
        <v>0.5657</v>
      </c>
      <c r="H7" s="10">
        <v>8.0</v>
      </c>
      <c r="I7" s="38">
        <v>0.2</v>
      </c>
      <c r="J7" s="10" t="s">
        <v>40</v>
      </c>
      <c r="L7" s="10">
        <v>1.0</v>
      </c>
    </row>
    <row r="8">
      <c r="A8" s="10" t="s">
        <v>48</v>
      </c>
      <c r="D8" s="10">
        <v>196.0</v>
      </c>
      <c r="E8" s="38">
        <v>0.4016</v>
      </c>
      <c r="F8" s="10">
        <v>45.0</v>
      </c>
      <c r="G8" s="38">
        <v>0.4545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154.0</v>
      </c>
      <c r="E9" s="38">
        <v>0.3156</v>
      </c>
      <c r="F9" s="10">
        <v>35.0</v>
      </c>
      <c r="G9" s="38">
        <v>0.3535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47.0</v>
      </c>
      <c r="E11" s="38">
        <v>0.0963</v>
      </c>
      <c r="F11" s="10">
        <v>14.0</v>
      </c>
      <c r="G11" s="38">
        <v>0.1414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234.0</v>
      </c>
      <c r="E12" s="38">
        <v>0.4795</v>
      </c>
      <c r="F12" s="10">
        <v>64.0</v>
      </c>
      <c r="G12" s="38">
        <v>0.6465</v>
      </c>
      <c r="H12" s="10">
        <v>31.0</v>
      </c>
      <c r="I12" s="38">
        <v>0.775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70.0</v>
      </c>
      <c r="E13" s="38">
        <v>0.1434</v>
      </c>
      <c r="F13" s="10">
        <v>23.0</v>
      </c>
      <c r="G13" s="38">
        <v>0.2323</v>
      </c>
      <c r="H13" s="10">
        <v>24.0</v>
      </c>
      <c r="I13" s="38">
        <v>0.6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59.0</v>
      </c>
      <c r="E14" s="38">
        <v>0.1209</v>
      </c>
      <c r="F14" s="10">
        <v>12.0</v>
      </c>
      <c r="G14" s="38">
        <v>0.1212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1.0</v>
      </c>
      <c r="E18" s="38">
        <v>0.002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2.0</v>
      </c>
      <c r="E19" s="38">
        <v>0.0041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0.0</v>
      </c>
      <c r="E20" s="38">
        <v>0.0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208.0</v>
      </c>
      <c r="E22" s="38">
        <v>0.4262</v>
      </c>
      <c r="F22" s="10">
        <v>44.0</v>
      </c>
      <c r="G22" s="38">
        <v>0.4444</v>
      </c>
      <c r="H22" s="10">
        <v>20.0</v>
      </c>
      <c r="I22" s="38">
        <v>0.5</v>
      </c>
      <c r="J22" s="10" t="s">
        <v>40</v>
      </c>
    </row>
    <row r="23">
      <c r="A23" s="10" t="s">
        <v>64</v>
      </c>
      <c r="D23" s="10">
        <v>235.0</v>
      </c>
      <c r="E23" s="38">
        <v>0.4816</v>
      </c>
      <c r="F23" s="10">
        <v>42.0</v>
      </c>
      <c r="G23" s="38">
        <v>0.4242</v>
      </c>
      <c r="H23" s="10">
        <v>13.0</v>
      </c>
      <c r="I23" s="38">
        <v>0.325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86.0</v>
      </c>
      <c r="E24" s="38">
        <v>0.1762</v>
      </c>
      <c r="F24" s="10">
        <v>11.0</v>
      </c>
      <c r="G24" s="38">
        <v>0.1111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128.0</v>
      </c>
      <c r="E25" s="38">
        <v>0.2623</v>
      </c>
      <c r="F25" s="10">
        <v>53.0</v>
      </c>
      <c r="G25" s="38">
        <v>0.5354</v>
      </c>
      <c r="H25" s="10">
        <v>30.0</v>
      </c>
      <c r="I25" s="38">
        <v>0.75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104.0</v>
      </c>
      <c r="E26" s="38">
        <v>0.2131</v>
      </c>
      <c r="F26" s="10">
        <v>23.0</v>
      </c>
      <c r="G26" s="38">
        <v>0.2323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63.0</v>
      </c>
      <c r="E27" s="38">
        <v>0.1291</v>
      </c>
      <c r="F27" s="10">
        <v>6.0</v>
      </c>
      <c r="G27" s="38">
        <v>0.0606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84.0</v>
      </c>
      <c r="E28" s="38">
        <v>0.1721</v>
      </c>
      <c r="F28" s="10">
        <v>18.0</v>
      </c>
      <c r="G28" s="38">
        <v>0.1818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13.0</v>
      </c>
      <c r="E29" s="38">
        <v>0.0266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119.0</v>
      </c>
      <c r="E32" s="38">
        <v>0.2439</v>
      </c>
      <c r="F32" s="10">
        <v>37.0</v>
      </c>
      <c r="G32" s="38">
        <v>0.3737</v>
      </c>
      <c r="H32" s="10">
        <v>11.0</v>
      </c>
      <c r="I32" s="38">
        <v>0.275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14.0</v>
      </c>
      <c r="E33" s="38">
        <v>0.0287</v>
      </c>
      <c r="F33" s="10">
        <v>1.0</v>
      </c>
      <c r="G33" s="38">
        <v>0.0101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48.0</v>
      </c>
      <c r="E36" s="38">
        <v>0.0984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253.0</v>
      </c>
      <c r="E37" s="38">
        <v>0.5184</v>
      </c>
      <c r="F37" s="10">
        <v>45.0</v>
      </c>
      <c r="G37" s="38">
        <v>0.4545</v>
      </c>
      <c r="H37" s="10">
        <v>11.0</v>
      </c>
      <c r="I37" s="38">
        <v>0.275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135.0</v>
      </c>
      <c r="E38" s="38">
        <v>0.2766</v>
      </c>
      <c r="F38" s="10">
        <v>36.0</v>
      </c>
      <c r="G38" s="38">
        <v>0.3636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2.0</v>
      </c>
      <c r="E39" s="38">
        <v>0.0041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230.0</v>
      </c>
      <c r="E40" s="38">
        <v>0.4713</v>
      </c>
      <c r="F40" s="10">
        <v>55.0</v>
      </c>
      <c r="G40" s="38">
        <v>0.5556</v>
      </c>
      <c r="H40" s="10">
        <v>29.0</v>
      </c>
      <c r="I40" s="38">
        <v>0.725</v>
      </c>
      <c r="J40" s="10" t="s">
        <v>40</v>
      </c>
    </row>
    <row r="41">
      <c r="A41" s="10" t="s">
        <v>6</v>
      </c>
      <c r="D41" s="10">
        <v>67.0</v>
      </c>
      <c r="E41" s="38">
        <v>0.1373</v>
      </c>
      <c r="F41" s="10">
        <v>8.0</v>
      </c>
      <c r="G41" s="38">
        <v>0.0808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24.0</v>
      </c>
      <c r="E42" s="38">
        <v>0.0492</v>
      </c>
      <c r="F42" s="10">
        <v>6.0</v>
      </c>
      <c r="G42" s="38">
        <v>0.0606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33.0</v>
      </c>
      <c r="E43" s="38">
        <v>0.0676</v>
      </c>
      <c r="F43" s="10">
        <v>6.0</v>
      </c>
      <c r="G43" s="38">
        <v>0.0606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13.0</v>
      </c>
      <c r="E44" s="38">
        <v>0.0266</v>
      </c>
      <c r="F44" s="10">
        <v>2.0</v>
      </c>
      <c r="G44" s="38">
        <v>0.0202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11.0</v>
      </c>
      <c r="E45" s="38">
        <v>0.0225</v>
      </c>
      <c r="F45" s="10">
        <v>0.0</v>
      </c>
      <c r="G45" s="38">
        <v>0.0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-0.01832218861</v>
      </c>
      <c r="I46" s="38">
        <v>-0.0183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230.0</v>
      </c>
      <c r="E5" s="38">
        <v>0.4713</v>
      </c>
      <c r="F5" s="10">
        <v>56.0</v>
      </c>
      <c r="G5" s="38">
        <v>0.5657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258.0</v>
      </c>
      <c r="E6" s="38">
        <v>0.5287</v>
      </c>
      <c r="F6" s="10">
        <v>43.0</v>
      </c>
      <c r="G6" s="38">
        <v>0.4343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289.0</v>
      </c>
      <c r="E7" s="38">
        <v>0.5922</v>
      </c>
      <c r="F7" s="10">
        <v>58.0</v>
      </c>
      <c r="G7" s="38">
        <v>0.5859</v>
      </c>
      <c r="H7" s="10">
        <v>8.0</v>
      </c>
      <c r="I7" s="38">
        <v>0.2</v>
      </c>
      <c r="J7" s="10" t="s">
        <v>40</v>
      </c>
      <c r="L7" s="10">
        <v>1.0</v>
      </c>
    </row>
    <row r="8">
      <c r="A8" s="10" t="s">
        <v>48</v>
      </c>
      <c r="D8" s="10">
        <v>199.0</v>
      </c>
      <c r="E8" s="38">
        <v>0.4078</v>
      </c>
      <c r="F8" s="10">
        <v>43.0</v>
      </c>
      <c r="G8" s="38">
        <v>0.4343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165.0</v>
      </c>
      <c r="E9" s="38">
        <v>0.3381</v>
      </c>
      <c r="F9" s="10">
        <v>40.0</v>
      </c>
      <c r="G9" s="38">
        <v>0.404</v>
      </c>
      <c r="H9" s="10">
        <v>13.0</v>
      </c>
      <c r="I9" s="38">
        <v>0.325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49.0</v>
      </c>
      <c r="E11" s="38">
        <v>0.1004</v>
      </c>
      <c r="F11" s="10">
        <v>13.0</v>
      </c>
      <c r="G11" s="38">
        <v>0.1313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208.0</v>
      </c>
      <c r="E12" s="38">
        <v>0.4262</v>
      </c>
      <c r="F12" s="10">
        <v>55.0</v>
      </c>
      <c r="G12" s="38">
        <v>0.5556</v>
      </c>
      <c r="H12" s="10">
        <v>26.0</v>
      </c>
      <c r="I12" s="38">
        <v>0.65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69.0</v>
      </c>
      <c r="E13" s="38">
        <v>0.1414</v>
      </c>
      <c r="F13" s="10">
        <v>22.0</v>
      </c>
      <c r="G13" s="38">
        <v>0.2222</v>
      </c>
      <c r="H13" s="10">
        <v>21.0</v>
      </c>
      <c r="I13" s="38">
        <v>0.525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68.0</v>
      </c>
      <c r="E14" s="38">
        <v>0.1393</v>
      </c>
      <c r="F14" s="10">
        <v>12.0</v>
      </c>
      <c r="G14" s="38">
        <v>0.1212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35.0</v>
      </c>
      <c r="E18" s="38">
        <v>0.0717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27.0</v>
      </c>
      <c r="E19" s="38">
        <v>0.0553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17.0</v>
      </c>
      <c r="E20" s="38">
        <v>0.0348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235.0</v>
      </c>
      <c r="E22" s="38">
        <v>0.4816</v>
      </c>
      <c r="F22" s="10">
        <v>53.0</v>
      </c>
      <c r="G22" s="38">
        <v>0.5354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214.0</v>
      </c>
      <c r="E23" s="38">
        <v>0.4385</v>
      </c>
      <c r="F23" s="10">
        <v>37.0</v>
      </c>
      <c r="G23" s="38">
        <v>0.3737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82.0</v>
      </c>
      <c r="E24" s="38">
        <v>0.168</v>
      </c>
      <c r="F24" s="10">
        <v>21.0</v>
      </c>
      <c r="G24" s="38">
        <v>0.2121</v>
      </c>
      <c r="H24" s="10">
        <v>8.0</v>
      </c>
      <c r="I24" s="38">
        <v>0.2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124.0</v>
      </c>
      <c r="E25" s="38">
        <v>0.2541</v>
      </c>
      <c r="F25" s="10">
        <v>44.0</v>
      </c>
      <c r="G25" s="38">
        <v>0.4444</v>
      </c>
      <c r="H25" s="10">
        <v>23.0</v>
      </c>
      <c r="I25" s="38">
        <v>0.575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119.0</v>
      </c>
      <c r="E26" s="38">
        <v>0.2439</v>
      </c>
      <c r="F26" s="10">
        <v>30.0</v>
      </c>
      <c r="G26" s="38">
        <v>0.303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66.0</v>
      </c>
      <c r="E27" s="38">
        <v>0.1352</v>
      </c>
      <c r="F27" s="10">
        <v>9.0</v>
      </c>
      <c r="G27" s="38">
        <v>0.0909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100.0</v>
      </c>
      <c r="E28" s="38">
        <v>0.2049</v>
      </c>
      <c r="F28" s="10">
        <v>18.0</v>
      </c>
      <c r="G28" s="38">
        <v>0.1818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4.0</v>
      </c>
      <c r="E29" s="38">
        <v>0.0082</v>
      </c>
      <c r="F29" s="10">
        <v>0.0</v>
      </c>
      <c r="G29" s="38">
        <v>0.0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122.0</v>
      </c>
      <c r="E32" s="38">
        <v>0.25</v>
      </c>
      <c r="F32" s="10">
        <v>32.0</v>
      </c>
      <c r="G32" s="38">
        <v>0.3232</v>
      </c>
      <c r="H32" s="10">
        <v>15.0</v>
      </c>
      <c r="I32" s="38">
        <v>0.375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4.0</v>
      </c>
      <c r="E33" s="38">
        <v>0.0082</v>
      </c>
      <c r="F33" s="10">
        <v>0.0</v>
      </c>
      <c r="G33" s="38">
        <v>0.0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48.0</v>
      </c>
      <c r="E36" s="38">
        <v>0.0984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276.0</v>
      </c>
      <c r="E37" s="38">
        <v>0.5656</v>
      </c>
      <c r="F37" s="10">
        <v>47.0</v>
      </c>
      <c r="G37" s="38">
        <v>0.4747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155.0</v>
      </c>
      <c r="E38" s="38">
        <v>0.3176</v>
      </c>
      <c r="F38" s="10">
        <v>32.0</v>
      </c>
      <c r="G38" s="38">
        <v>0.3232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4.0</v>
      </c>
      <c r="E39" s="38">
        <v>0.0082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206.0</v>
      </c>
      <c r="E40" s="38">
        <v>0.4221</v>
      </c>
      <c r="F40" s="10">
        <v>54.0</v>
      </c>
      <c r="G40" s="38">
        <v>0.5455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60.0</v>
      </c>
      <c r="E41" s="38">
        <v>0.123</v>
      </c>
      <c r="F41" s="10">
        <v>8.0</v>
      </c>
      <c r="G41" s="38">
        <v>0.0808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11.0</v>
      </c>
      <c r="E42" s="38">
        <v>0.0225</v>
      </c>
      <c r="F42" s="10">
        <v>2.0</v>
      </c>
      <c r="G42" s="38">
        <v>0.0202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41.0</v>
      </c>
      <c r="E43" s="38">
        <v>0.084</v>
      </c>
      <c r="F43" s="10">
        <v>8.0</v>
      </c>
      <c r="G43" s="38">
        <v>0.0808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10.0</v>
      </c>
      <c r="E44" s="38">
        <v>0.0205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-0.005873592254</v>
      </c>
      <c r="I46" s="38">
        <v>-0.0059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240.0</v>
      </c>
      <c r="E5" s="38">
        <v>0.4918</v>
      </c>
      <c r="F5" s="10">
        <v>58.0</v>
      </c>
      <c r="G5" s="38">
        <v>0.5859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248.0</v>
      </c>
      <c r="E6" s="38">
        <v>0.5082</v>
      </c>
      <c r="F6" s="10">
        <v>41.0</v>
      </c>
      <c r="G6" s="38">
        <v>0.4141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334.0</v>
      </c>
      <c r="E7" s="38">
        <v>0.6844</v>
      </c>
      <c r="F7" s="10">
        <v>73.0</v>
      </c>
      <c r="G7" s="38">
        <v>0.7374</v>
      </c>
      <c r="H7" s="10">
        <v>21.0</v>
      </c>
      <c r="I7" s="38">
        <v>0.525</v>
      </c>
      <c r="J7" s="10" t="s">
        <v>40</v>
      </c>
      <c r="L7" s="10">
        <v>1.0</v>
      </c>
    </row>
    <row r="8">
      <c r="A8" s="10" t="s">
        <v>48</v>
      </c>
      <c r="D8" s="10">
        <v>154.0</v>
      </c>
      <c r="E8" s="38">
        <v>0.3156</v>
      </c>
      <c r="F8" s="10">
        <v>28.0</v>
      </c>
      <c r="G8" s="38">
        <v>0.2828</v>
      </c>
      <c r="H8" s="10">
        <v>12.0</v>
      </c>
      <c r="I8" s="38">
        <v>0.3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172.0</v>
      </c>
      <c r="E9" s="38">
        <v>0.3525</v>
      </c>
      <c r="F9" s="10">
        <v>39.0</v>
      </c>
      <c r="G9" s="38">
        <v>0.3939</v>
      </c>
      <c r="H9" s="10">
        <v>14.0</v>
      </c>
      <c r="I9" s="38">
        <v>0.35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50.0</v>
      </c>
      <c r="E11" s="38">
        <v>0.1025</v>
      </c>
      <c r="F11" s="10">
        <v>13.0</v>
      </c>
      <c r="G11" s="38">
        <v>0.1313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209.0</v>
      </c>
      <c r="E12" s="38">
        <v>0.4283</v>
      </c>
      <c r="F12" s="10">
        <v>54.0</v>
      </c>
      <c r="G12" s="38">
        <v>0.5455</v>
      </c>
      <c r="H12" s="10">
        <v>26.0</v>
      </c>
      <c r="I12" s="38">
        <v>0.65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69.0</v>
      </c>
      <c r="E13" s="38">
        <v>0.1414</v>
      </c>
      <c r="F13" s="10">
        <v>25.0</v>
      </c>
      <c r="G13" s="38">
        <v>0.2525</v>
      </c>
      <c r="H13" s="10">
        <v>14.0</v>
      </c>
      <c r="I13" s="38">
        <v>0.35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73.0</v>
      </c>
      <c r="E14" s="38">
        <v>0.1496</v>
      </c>
      <c r="F14" s="10">
        <v>12.0</v>
      </c>
      <c r="G14" s="38">
        <v>0.1212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34.0</v>
      </c>
      <c r="E18" s="38">
        <v>0.0697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48.0</v>
      </c>
      <c r="E19" s="38">
        <v>0.0984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9.0</v>
      </c>
      <c r="E20" s="38">
        <v>0.0184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222.0</v>
      </c>
      <c r="E22" s="38">
        <v>0.4549</v>
      </c>
      <c r="F22" s="10">
        <v>43.0</v>
      </c>
      <c r="G22" s="38">
        <v>0.4343</v>
      </c>
      <c r="H22" s="10">
        <v>23.0</v>
      </c>
      <c r="I22" s="38">
        <v>0.575</v>
      </c>
      <c r="J22" s="10" t="s">
        <v>40</v>
      </c>
    </row>
    <row r="23">
      <c r="A23" s="10" t="s">
        <v>64</v>
      </c>
      <c r="D23" s="10">
        <v>219.0</v>
      </c>
      <c r="E23" s="38">
        <v>0.4488</v>
      </c>
      <c r="F23" s="10">
        <v>43.0</v>
      </c>
      <c r="G23" s="38">
        <v>0.4343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91.0</v>
      </c>
      <c r="E24" s="38">
        <v>0.1865</v>
      </c>
      <c r="F24" s="10">
        <v>18.0</v>
      </c>
      <c r="G24" s="38">
        <v>0.1818</v>
      </c>
      <c r="H24" s="10">
        <v>4.0</v>
      </c>
      <c r="I24" s="38">
        <v>0.1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80.0</v>
      </c>
      <c r="E25" s="38">
        <v>0.1639</v>
      </c>
      <c r="F25" s="10">
        <v>29.0</v>
      </c>
      <c r="G25" s="38">
        <v>0.2929</v>
      </c>
      <c r="H25" s="10">
        <v>22.0</v>
      </c>
      <c r="I25" s="38">
        <v>0.55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112.0</v>
      </c>
      <c r="E26" s="38">
        <v>0.2295</v>
      </c>
      <c r="F26" s="10">
        <v>26.0</v>
      </c>
      <c r="G26" s="38">
        <v>0.2626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96.0</v>
      </c>
      <c r="E27" s="38">
        <v>0.1967</v>
      </c>
      <c r="F27" s="10">
        <v>13.0</v>
      </c>
      <c r="G27" s="38">
        <v>0.1313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91.0</v>
      </c>
      <c r="E28" s="38">
        <v>0.1865</v>
      </c>
      <c r="F28" s="10">
        <v>13.0</v>
      </c>
      <c r="G28" s="38">
        <v>0.1313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10.0</v>
      </c>
      <c r="E29" s="38">
        <v>0.0205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120.0</v>
      </c>
      <c r="E32" s="38">
        <v>0.2459</v>
      </c>
      <c r="F32" s="10">
        <v>30.0</v>
      </c>
      <c r="G32" s="38">
        <v>0.303</v>
      </c>
      <c r="H32" s="10">
        <v>18.0</v>
      </c>
      <c r="I32" s="38">
        <v>0.45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10.0</v>
      </c>
      <c r="E33" s="38">
        <v>0.0205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47.0</v>
      </c>
      <c r="E36" s="38">
        <v>0.0963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262.0</v>
      </c>
      <c r="E37" s="38">
        <v>0.5369</v>
      </c>
      <c r="F37" s="10">
        <v>43.0</v>
      </c>
      <c r="G37" s="38">
        <v>0.4343</v>
      </c>
      <c r="H37" s="10">
        <v>22.0</v>
      </c>
      <c r="I37" s="38">
        <v>0.55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150.0</v>
      </c>
      <c r="E38" s="38">
        <v>0.3074</v>
      </c>
      <c r="F38" s="10">
        <v>26.0</v>
      </c>
      <c r="G38" s="38">
        <v>0.2626</v>
      </c>
      <c r="H38" s="10">
        <v>17.0</v>
      </c>
      <c r="I38" s="38">
        <v>0.425</v>
      </c>
      <c r="J38" s="10" t="s">
        <v>40</v>
      </c>
      <c r="K38" s="10" t="s">
        <v>43</v>
      </c>
    </row>
    <row r="39">
      <c r="A39" s="10" t="s">
        <v>78</v>
      </c>
      <c r="D39" s="10">
        <v>6.0</v>
      </c>
      <c r="E39" s="38">
        <v>0.0123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223.0</v>
      </c>
      <c r="E40" s="38">
        <v>0.457</v>
      </c>
      <c r="F40" s="10">
        <v>58.0</v>
      </c>
      <c r="G40" s="38">
        <v>0.5859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69.0</v>
      </c>
      <c r="E41" s="38">
        <v>0.1414</v>
      </c>
      <c r="F41" s="10">
        <v>12.0</v>
      </c>
      <c r="G41" s="38">
        <v>0.1212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28.0</v>
      </c>
      <c r="E42" s="38">
        <v>0.0574</v>
      </c>
      <c r="F42" s="10">
        <v>8.0</v>
      </c>
      <c r="G42" s="38">
        <v>0.0808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34.0</v>
      </c>
      <c r="E43" s="38">
        <v>0.0697</v>
      </c>
      <c r="F43" s="10">
        <v>6.0</v>
      </c>
      <c r="G43" s="38">
        <v>0.0606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9.0</v>
      </c>
      <c r="E44" s="38">
        <v>0.0184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9.0</v>
      </c>
      <c r="E45" s="38">
        <v>0.0184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-0.005081440273</v>
      </c>
      <c r="I46" s="38">
        <v>-0.0051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236.0</v>
      </c>
      <c r="E5" s="38">
        <v>0.4836</v>
      </c>
      <c r="F5" s="10">
        <v>58.0</v>
      </c>
      <c r="G5" s="38">
        <v>0.5859</v>
      </c>
      <c r="H5" s="10">
        <v>31.0</v>
      </c>
      <c r="I5" s="38">
        <v>0.775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252.0</v>
      </c>
      <c r="E6" s="38">
        <v>0.5164</v>
      </c>
      <c r="F6" s="10">
        <v>41.0</v>
      </c>
      <c r="G6" s="38">
        <v>0.4141</v>
      </c>
      <c r="H6" s="10">
        <v>2.0</v>
      </c>
      <c r="I6" s="38">
        <v>0.05</v>
      </c>
      <c r="J6" s="10" t="s">
        <v>40</v>
      </c>
    </row>
    <row r="7">
      <c r="A7" s="10" t="s">
        <v>47</v>
      </c>
      <c r="D7" s="10">
        <v>355.0</v>
      </c>
      <c r="E7" s="38">
        <v>0.7275</v>
      </c>
      <c r="F7" s="10">
        <v>78.0</v>
      </c>
      <c r="G7" s="38">
        <v>0.7879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133.0</v>
      </c>
      <c r="E8" s="38">
        <v>0.2725</v>
      </c>
      <c r="F8" s="10">
        <v>23.0</v>
      </c>
      <c r="G8" s="38">
        <v>0.2323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178.0</v>
      </c>
      <c r="E9" s="38">
        <v>0.3648</v>
      </c>
      <c r="F9" s="10">
        <v>36.0</v>
      </c>
      <c r="G9" s="38">
        <v>0.3636</v>
      </c>
      <c r="H9" s="10">
        <v>12.0</v>
      </c>
      <c r="I9" s="38">
        <v>0.3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62.0</v>
      </c>
      <c r="E11" s="38">
        <v>0.127</v>
      </c>
      <c r="F11" s="10">
        <v>10.0</v>
      </c>
      <c r="G11" s="38">
        <v>0.101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212.0</v>
      </c>
      <c r="E12" s="38">
        <v>0.4344</v>
      </c>
      <c r="F12" s="10">
        <v>52.0</v>
      </c>
      <c r="G12" s="38">
        <v>0.5253</v>
      </c>
      <c r="H12" s="10">
        <v>26.0</v>
      </c>
      <c r="I12" s="38">
        <v>0.65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78.0</v>
      </c>
      <c r="E13" s="38">
        <v>0.1598</v>
      </c>
      <c r="F13" s="10">
        <v>27.0</v>
      </c>
      <c r="G13" s="38">
        <v>0.2727</v>
      </c>
      <c r="H13" s="10">
        <v>10.0</v>
      </c>
      <c r="I13" s="38">
        <v>0.25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63.0</v>
      </c>
      <c r="E14" s="38">
        <v>0.1291</v>
      </c>
      <c r="F14" s="10">
        <v>10.0</v>
      </c>
      <c r="G14" s="38">
        <v>0.101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79.0</v>
      </c>
      <c r="E18" s="38">
        <v>0.1619</v>
      </c>
      <c r="F18" s="10">
        <v>13.0</v>
      </c>
      <c r="G18" s="38">
        <v>0.1313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20.0</v>
      </c>
      <c r="E19" s="38">
        <v>0.041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21.0</v>
      </c>
      <c r="E20" s="38">
        <v>0.043</v>
      </c>
      <c r="F20" s="10">
        <v>3.0</v>
      </c>
      <c r="G20" s="38">
        <v>0.0303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13.0</v>
      </c>
      <c r="G21" s="38">
        <v>0.1313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226.0</v>
      </c>
      <c r="E22" s="38">
        <v>0.4631</v>
      </c>
      <c r="F22" s="10">
        <v>42.0</v>
      </c>
      <c r="G22" s="38">
        <v>0.4242</v>
      </c>
      <c r="H22" s="10">
        <v>16.0</v>
      </c>
      <c r="I22" s="38">
        <v>0.4</v>
      </c>
      <c r="J22" s="10" t="s">
        <v>40</v>
      </c>
    </row>
    <row r="23">
      <c r="A23" s="10" t="s">
        <v>64</v>
      </c>
      <c r="D23" s="10">
        <v>209.0</v>
      </c>
      <c r="E23" s="38">
        <v>0.4283</v>
      </c>
      <c r="F23" s="10">
        <v>43.0</v>
      </c>
      <c r="G23" s="38">
        <v>0.4343</v>
      </c>
      <c r="H23" s="10">
        <v>11.0</v>
      </c>
      <c r="I23" s="38">
        <v>0.275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77.0</v>
      </c>
      <c r="E24" s="38">
        <v>0.1578</v>
      </c>
      <c r="F24" s="10">
        <v>19.0</v>
      </c>
      <c r="G24" s="38">
        <v>0.1919</v>
      </c>
      <c r="H24" s="10">
        <v>6.0</v>
      </c>
      <c r="I24" s="38">
        <v>0.15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84.0</v>
      </c>
      <c r="E25" s="38">
        <v>0.1721</v>
      </c>
      <c r="F25" s="10">
        <v>28.0</v>
      </c>
      <c r="G25" s="38">
        <v>0.2828</v>
      </c>
      <c r="H25" s="10">
        <v>22.0</v>
      </c>
      <c r="I25" s="38">
        <v>0.55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92.0</v>
      </c>
      <c r="E26" s="38">
        <v>0.1885</v>
      </c>
      <c r="F26" s="10">
        <v>18.0</v>
      </c>
      <c r="G26" s="38">
        <v>0.1818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113.0</v>
      </c>
      <c r="E27" s="38">
        <v>0.2316</v>
      </c>
      <c r="F27" s="10">
        <v>17.0</v>
      </c>
      <c r="G27" s="38">
        <v>0.1717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93.0</v>
      </c>
      <c r="E28" s="38">
        <v>0.1906</v>
      </c>
      <c r="F28" s="10">
        <v>14.0</v>
      </c>
      <c r="G28" s="38">
        <v>0.1414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15.0</v>
      </c>
      <c r="E29" s="38">
        <v>0.0307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129.0</v>
      </c>
      <c r="E32" s="38">
        <v>0.2643</v>
      </c>
      <c r="F32" s="10">
        <v>30.0</v>
      </c>
      <c r="G32" s="38">
        <v>0.303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15.0</v>
      </c>
      <c r="E33" s="38">
        <v>0.0307</v>
      </c>
      <c r="F33" s="10">
        <v>3.0</v>
      </c>
      <c r="G33" s="38">
        <v>0.0303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47.0</v>
      </c>
      <c r="E36" s="38">
        <v>0.0963</v>
      </c>
      <c r="F36" s="10">
        <v>7.0</v>
      </c>
      <c r="G36" s="38">
        <v>0.0707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264.0</v>
      </c>
      <c r="E37" s="38">
        <v>0.541</v>
      </c>
      <c r="F37" s="10">
        <v>44.0</v>
      </c>
      <c r="G37" s="38">
        <v>0.4444</v>
      </c>
      <c r="H37" s="10">
        <v>19.0</v>
      </c>
      <c r="I37" s="38">
        <v>0.475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161.0</v>
      </c>
      <c r="E38" s="38">
        <v>0.3299</v>
      </c>
      <c r="F38" s="10">
        <v>29.0</v>
      </c>
      <c r="G38" s="38">
        <v>0.2929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219.0</v>
      </c>
      <c r="E40" s="38">
        <v>0.4488</v>
      </c>
      <c r="F40" s="10">
        <v>57.0</v>
      </c>
      <c r="G40" s="38">
        <v>0.5758</v>
      </c>
      <c r="H40" s="10">
        <v>22.0</v>
      </c>
      <c r="I40" s="38">
        <v>0.55</v>
      </c>
      <c r="J40" s="10" t="s">
        <v>40</v>
      </c>
    </row>
    <row r="41">
      <c r="A41" s="10" t="s">
        <v>6</v>
      </c>
      <c r="D41" s="10">
        <v>63.0</v>
      </c>
      <c r="E41" s="38">
        <v>0.1291</v>
      </c>
      <c r="F41" s="10">
        <v>10.0</v>
      </c>
      <c r="G41" s="38">
        <v>0.101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32.0</v>
      </c>
      <c r="E42" s="38">
        <v>0.0656</v>
      </c>
      <c r="F42" s="10">
        <v>7.0</v>
      </c>
      <c r="G42" s="38">
        <v>0.0707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48.0</v>
      </c>
      <c r="E43" s="38">
        <v>0.0984</v>
      </c>
      <c r="F43" s="10">
        <v>6.0</v>
      </c>
      <c r="G43" s="38">
        <v>0.0606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17.0</v>
      </c>
      <c r="E44" s="38">
        <v>0.0348</v>
      </c>
      <c r="F44" s="10">
        <v>2.0</v>
      </c>
      <c r="G44" s="38">
        <v>0.0202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10.0</v>
      </c>
      <c r="E45" s="38">
        <v>0.0205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-0.01120775642</v>
      </c>
      <c r="I46" s="38">
        <v>-0.0112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233.0</v>
      </c>
      <c r="E5" s="38">
        <v>0.4775</v>
      </c>
      <c r="F5" s="10">
        <v>59.0</v>
      </c>
      <c r="G5" s="38">
        <v>0.596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255.0</v>
      </c>
      <c r="E6" s="38">
        <v>0.5225</v>
      </c>
      <c r="F6" s="10">
        <v>40.0</v>
      </c>
      <c r="G6" s="38">
        <v>0.404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322.0</v>
      </c>
      <c r="E7" s="38">
        <v>0.6598</v>
      </c>
      <c r="F7" s="10">
        <v>74.0</v>
      </c>
      <c r="G7" s="38">
        <v>0.7475</v>
      </c>
      <c r="H7" s="10">
        <v>24.0</v>
      </c>
      <c r="I7" s="38">
        <v>0.6</v>
      </c>
      <c r="J7" s="10" t="s">
        <v>40</v>
      </c>
      <c r="L7" s="10">
        <v>1.0</v>
      </c>
    </row>
    <row r="8">
      <c r="A8" s="10" t="s">
        <v>48</v>
      </c>
      <c r="D8" s="10">
        <v>166.0</v>
      </c>
      <c r="E8" s="38">
        <v>0.3402</v>
      </c>
      <c r="F8" s="10">
        <v>27.0</v>
      </c>
      <c r="G8" s="38">
        <v>0.2727</v>
      </c>
      <c r="H8" s="10">
        <v>9.0</v>
      </c>
      <c r="I8" s="38">
        <v>0.225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185.0</v>
      </c>
      <c r="E9" s="38">
        <v>0.3791</v>
      </c>
      <c r="F9" s="10">
        <v>35.0</v>
      </c>
      <c r="G9" s="38">
        <v>0.3535</v>
      </c>
      <c r="H9" s="10">
        <v>11.0</v>
      </c>
      <c r="I9" s="38">
        <v>0.275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37.0</v>
      </c>
      <c r="E11" s="38">
        <v>0.0758</v>
      </c>
      <c r="F11" s="10">
        <v>6.0</v>
      </c>
      <c r="G11" s="38">
        <v>0.0606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187.0</v>
      </c>
      <c r="E12" s="38">
        <v>0.3832</v>
      </c>
      <c r="F12" s="10">
        <v>50.0</v>
      </c>
      <c r="G12" s="38">
        <v>0.5051</v>
      </c>
      <c r="H12" s="10">
        <v>25.0</v>
      </c>
      <c r="I12" s="38">
        <v>0.625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69.0</v>
      </c>
      <c r="E13" s="38">
        <v>0.1414</v>
      </c>
      <c r="F13" s="10">
        <v>21.0</v>
      </c>
      <c r="G13" s="38">
        <v>0.2121</v>
      </c>
      <c r="H13" s="10">
        <v>10.0</v>
      </c>
      <c r="I13" s="38">
        <v>0.25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70.0</v>
      </c>
      <c r="E14" s="38">
        <v>0.1434</v>
      </c>
      <c r="F14" s="10">
        <v>9.0</v>
      </c>
      <c r="G14" s="38">
        <v>0.0909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47.0</v>
      </c>
      <c r="E18" s="38">
        <v>0.0963</v>
      </c>
      <c r="F18" s="10">
        <v>8.0</v>
      </c>
      <c r="G18" s="38">
        <v>0.0808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47.0</v>
      </c>
      <c r="E19" s="38">
        <v>0.0963</v>
      </c>
      <c r="F19" s="10">
        <v>5.0</v>
      </c>
      <c r="G19" s="38">
        <v>0.0505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15.0</v>
      </c>
      <c r="E20" s="38">
        <v>0.0307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7.0</v>
      </c>
      <c r="E21" s="38">
        <v>0.0143</v>
      </c>
      <c r="F21" s="10">
        <v>8.0</v>
      </c>
      <c r="G21" s="38">
        <v>0.0808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233.0</v>
      </c>
      <c r="E22" s="38">
        <v>0.4775</v>
      </c>
      <c r="F22" s="10">
        <v>50.0</v>
      </c>
      <c r="G22" s="38">
        <v>0.5051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206.0</v>
      </c>
      <c r="E23" s="38">
        <v>0.4221</v>
      </c>
      <c r="F23" s="10">
        <v>42.0</v>
      </c>
      <c r="G23" s="38">
        <v>0.4242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93.0</v>
      </c>
      <c r="E24" s="38">
        <v>0.1906</v>
      </c>
      <c r="F24" s="10">
        <v>19.0</v>
      </c>
      <c r="G24" s="38">
        <v>0.1919</v>
      </c>
      <c r="H24" s="10">
        <v>6.0</v>
      </c>
      <c r="I24" s="38">
        <v>0.15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70.0</v>
      </c>
      <c r="E25" s="38">
        <v>0.1434</v>
      </c>
      <c r="F25" s="10">
        <v>25.0</v>
      </c>
      <c r="G25" s="38">
        <v>0.2525</v>
      </c>
      <c r="H25" s="10">
        <v>21.0</v>
      </c>
      <c r="I25" s="38">
        <v>0.525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62.0</v>
      </c>
      <c r="E26" s="38">
        <v>0.127</v>
      </c>
      <c r="F26" s="10">
        <v>11.0</v>
      </c>
      <c r="G26" s="38">
        <v>0.1111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133.0</v>
      </c>
      <c r="E27" s="38">
        <v>0.2725</v>
      </c>
      <c r="F27" s="10">
        <v>22.0</v>
      </c>
      <c r="G27" s="38">
        <v>0.2222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83.0</v>
      </c>
      <c r="E28" s="38">
        <v>0.1701</v>
      </c>
      <c r="F28" s="10">
        <v>11.0</v>
      </c>
      <c r="G28" s="38">
        <v>0.1111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7.0</v>
      </c>
      <c r="E29" s="38">
        <v>0.0143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103.0</v>
      </c>
      <c r="E32" s="38">
        <v>0.2111</v>
      </c>
      <c r="F32" s="10">
        <v>21.0</v>
      </c>
      <c r="G32" s="38">
        <v>0.2121</v>
      </c>
      <c r="H32" s="10">
        <v>13.0</v>
      </c>
      <c r="I32" s="38">
        <v>0.325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7.0</v>
      </c>
      <c r="E33" s="38">
        <v>0.0143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52.0</v>
      </c>
      <c r="E36" s="38">
        <v>0.1066</v>
      </c>
      <c r="F36" s="10">
        <v>7.0</v>
      </c>
      <c r="G36" s="38">
        <v>0.0707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270.0</v>
      </c>
      <c r="E37" s="38">
        <v>0.5533</v>
      </c>
      <c r="F37" s="10">
        <v>46.0</v>
      </c>
      <c r="G37" s="38">
        <v>0.4646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146.0</v>
      </c>
      <c r="E38" s="38">
        <v>0.2992</v>
      </c>
      <c r="F38" s="10">
        <v>22.0</v>
      </c>
      <c r="G38" s="38">
        <v>0.2222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6.0</v>
      </c>
      <c r="E39" s="38">
        <v>0.0123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212.0</v>
      </c>
      <c r="E40" s="38">
        <v>0.4344</v>
      </c>
      <c r="F40" s="10">
        <v>53.0</v>
      </c>
      <c r="G40" s="38">
        <v>0.5354</v>
      </c>
      <c r="H40" s="10">
        <v>20.0</v>
      </c>
      <c r="I40" s="38">
        <v>0.5</v>
      </c>
      <c r="J40" s="10" t="s">
        <v>40</v>
      </c>
    </row>
    <row r="41">
      <c r="A41" s="10" t="s">
        <v>6</v>
      </c>
      <c r="D41" s="10">
        <v>61.0</v>
      </c>
      <c r="E41" s="38">
        <v>0.125</v>
      </c>
      <c r="F41" s="10">
        <v>11.0</v>
      </c>
      <c r="G41" s="38">
        <v>0.1111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11.0</v>
      </c>
      <c r="E42" s="38">
        <v>0.0225</v>
      </c>
      <c r="F42" s="10">
        <v>2.0</v>
      </c>
      <c r="G42" s="38">
        <v>0.0202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28.0</v>
      </c>
      <c r="E43" s="38">
        <v>0.0574</v>
      </c>
      <c r="F43" s="10">
        <v>3.0</v>
      </c>
      <c r="G43" s="38">
        <v>0.0303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14.0</v>
      </c>
      <c r="E44" s="38">
        <v>0.0287</v>
      </c>
      <c r="F44" s="10">
        <v>2.0</v>
      </c>
      <c r="G44" s="38">
        <v>0.0202</v>
      </c>
      <c r="H44" s="10">
        <v>2.0</v>
      </c>
      <c r="I44" s="38">
        <v>0.05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-0.007563404247</v>
      </c>
      <c r="I46" s="38">
        <v>-0.0076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243.0</v>
      </c>
      <c r="E5" s="38">
        <v>0.498</v>
      </c>
      <c r="F5" s="10">
        <v>62.0</v>
      </c>
      <c r="G5" s="38">
        <v>0.6263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245.0</v>
      </c>
      <c r="E6" s="38">
        <v>0.502</v>
      </c>
      <c r="F6" s="10">
        <v>37.0</v>
      </c>
      <c r="G6" s="38">
        <v>0.3737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293.0</v>
      </c>
      <c r="E7" s="38">
        <v>0.6004</v>
      </c>
      <c r="F7" s="10">
        <v>67.0</v>
      </c>
      <c r="G7" s="38">
        <v>0.6768</v>
      </c>
      <c r="H7" s="10">
        <v>21.0</v>
      </c>
      <c r="I7" s="38">
        <v>0.525</v>
      </c>
      <c r="J7" s="10" t="s">
        <v>40</v>
      </c>
      <c r="L7" s="10">
        <v>1.0</v>
      </c>
    </row>
    <row r="8">
      <c r="A8" s="10" t="s">
        <v>48</v>
      </c>
      <c r="D8" s="10">
        <v>195.0</v>
      </c>
      <c r="E8" s="38">
        <v>0.3996</v>
      </c>
      <c r="F8" s="10">
        <v>34.0</v>
      </c>
      <c r="G8" s="38">
        <v>0.3434</v>
      </c>
      <c r="H8" s="10">
        <v>12.0</v>
      </c>
      <c r="I8" s="38">
        <v>0.3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191.0</v>
      </c>
      <c r="E9" s="38">
        <v>0.3914</v>
      </c>
      <c r="F9" s="10">
        <v>38.0</v>
      </c>
      <c r="G9" s="38">
        <v>0.3838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33.0</v>
      </c>
      <c r="E11" s="38">
        <v>0.0676</v>
      </c>
      <c r="F11" s="10">
        <v>8.0</v>
      </c>
      <c r="G11" s="38">
        <v>0.0808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185.0</v>
      </c>
      <c r="E12" s="38">
        <v>0.3791</v>
      </c>
      <c r="F12" s="10">
        <v>48.0</v>
      </c>
      <c r="G12" s="38">
        <v>0.4848</v>
      </c>
      <c r="H12" s="10">
        <v>23.0</v>
      </c>
      <c r="I12" s="38">
        <v>0.575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72.0</v>
      </c>
      <c r="E13" s="38">
        <v>0.1475</v>
      </c>
      <c r="F13" s="10">
        <v>17.0</v>
      </c>
      <c r="G13" s="38">
        <v>0.1717</v>
      </c>
      <c r="H13" s="10">
        <v>13.0</v>
      </c>
      <c r="I13" s="38">
        <v>0.325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76.0</v>
      </c>
      <c r="E14" s="38">
        <v>0.1557</v>
      </c>
      <c r="F14" s="10">
        <v>11.0</v>
      </c>
      <c r="G14" s="38">
        <v>0.1111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18.0</v>
      </c>
      <c r="E18" s="38">
        <v>0.0369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24.0</v>
      </c>
      <c r="E19" s="38">
        <v>0.0492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6.0</v>
      </c>
      <c r="E21" s="38">
        <v>0.0123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232.0</v>
      </c>
      <c r="E22" s="38">
        <v>0.4754</v>
      </c>
      <c r="F22" s="10">
        <v>44.0</v>
      </c>
      <c r="G22" s="38">
        <v>0.4444</v>
      </c>
      <c r="H22" s="10">
        <v>18.0</v>
      </c>
      <c r="I22" s="38">
        <v>0.45</v>
      </c>
      <c r="J22" s="10" t="s">
        <v>40</v>
      </c>
    </row>
    <row r="23">
      <c r="A23" s="10" t="s">
        <v>64</v>
      </c>
      <c r="D23" s="10">
        <v>199.0</v>
      </c>
      <c r="E23" s="38">
        <v>0.4078</v>
      </c>
      <c r="F23" s="10">
        <v>45.0</v>
      </c>
      <c r="G23" s="38">
        <v>0.4545</v>
      </c>
      <c r="H23" s="10">
        <v>11.0</v>
      </c>
      <c r="I23" s="38">
        <v>0.275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76.0</v>
      </c>
      <c r="E24" s="38">
        <v>0.1557</v>
      </c>
      <c r="F24" s="10">
        <v>15.0</v>
      </c>
      <c r="G24" s="38">
        <v>0.1515</v>
      </c>
      <c r="H24" s="10">
        <v>6.0</v>
      </c>
      <c r="I24" s="38">
        <v>0.15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60.0</v>
      </c>
      <c r="E25" s="38">
        <v>0.123</v>
      </c>
      <c r="F25" s="10">
        <v>24.0</v>
      </c>
      <c r="G25" s="38">
        <v>0.2424</v>
      </c>
      <c r="H25" s="10">
        <v>9.0</v>
      </c>
      <c r="I25" s="38">
        <v>0.225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51.0</v>
      </c>
      <c r="E26" s="38">
        <v>0.1045</v>
      </c>
      <c r="F26" s="10">
        <v>10.0</v>
      </c>
      <c r="G26" s="38">
        <v>0.101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160.0</v>
      </c>
      <c r="E27" s="38">
        <v>0.3279</v>
      </c>
      <c r="F27" s="10">
        <v>29.0</v>
      </c>
      <c r="G27" s="38">
        <v>0.2929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84.0</v>
      </c>
      <c r="E28" s="38">
        <v>0.1721</v>
      </c>
      <c r="F28" s="10">
        <v>12.0</v>
      </c>
      <c r="G28" s="38">
        <v>0.1212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10.0</v>
      </c>
      <c r="E29" s="38">
        <v>0.0205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104.0</v>
      </c>
      <c r="E32" s="38">
        <v>0.2131</v>
      </c>
      <c r="F32" s="10">
        <v>24.0</v>
      </c>
      <c r="G32" s="38">
        <v>0.2424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10.0</v>
      </c>
      <c r="E33" s="38">
        <v>0.0205</v>
      </c>
      <c r="F33" s="10">
        <v>3.0</v>
      </c>
      <c r="G33" s="38">
        <v>0.0303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58.0</v>
      </c>
      <c r="E36" s="38">
        <v>0.1189</v>
      </c>
      <c r="F36" s="10">
        <v>8.0</v>
      </c>
      <c r="G36" s="38">
        <v>0.0808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276.0</v>
      </c>
      <c r="E37" s="38">
        <v>0.5656</v>
      </c>
      <c r="F37" s="10">
        <v>45.0</v>
      </c>
      <c r="G37" s="38">
        <v>0.4545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133.0</v>
      </c>
      <c r="E38" s="38">
        <v>0.2725</v>
      </c>
      <c r="F38" s="10">
        <v>23.0</v>
      </c>
      <c r="G38" s="38">
        <v>0.2323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6.0</v>
      </c>
      <c r="E39" s="38">
        <v>0.0123</v>
      </c>
      <c r="F39" s="10">
        <v>0.0</v>
      </c>
      <c r="G39" s="38">
        <v>0.0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208.0</v>
      </c>
      <c r="E40" s="38">
        <v>0.4262</v>
      </c>
      <c r="F40" s="10">
        <v>56.0</v>
      </c>
      <c r="G40" s="38">
        <v>0.5657</v>
      </c>
      <c r="H40" s="10">
        <v>21.0</v>
      </c>
      <c r="I40" s="38">
        <v>0.525</v>
      </c>
      <c r="J40" s="10" t="s">
        <v>40</v>
      </c>
    </row>
    <row r="41">
      <c r="A41" s="10" t="s">
        <v>6</v>
      </c>
      <c r="D41" s="10">
        <v>53.0</v>
      </c>
      <c r="E41" s="38">
        <v>0.1086</v>
      </c>
      <c r="F41" s="10">
        <v>9.0</v>
      </c>
      <c r="G41" s="38">
        <v>0.0909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25.0</v>
      </c>
      <c r="E42" s="38">
        <v>0.0512</v>
      </c>
      <c r="F42" s="10">
        <v>7.0</v>
      </c>
      <c r="G42" s="38">
        <v>0.0707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36.0</v>
      </c>
      <c r="E43" s="38">
        <v>0.0738</v>
      </c>
      <c r="F43" s="10">
        <v>10.0</v>
      </c>
      <c r="G43" s="38">
        <v>0.101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20.0</v>
      </c>
      <c r="E44" s="38">
        <v>0.041</v>
      </c>
      <c r="F44" s="10">
        <v>2.0</v>
      </c>
      <c r="G44" s="38">
        <v>0.0202</v>
      </c>
      <c r="H44" s="10">
        <v>2.0</v>
      </c>
      <c r="I44" s="38">
        <v>0.05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11.0</v>
      </c>
      <c r="E45" s="38">
        <v>0.0225</v>
      </c>
      <c r="F45" s="10">
        <v>5.0</v>
      </c>
      <c r="G45" s="38">
        <v>0.0505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0.001255813104</v>
      </c>
      <c r="I46" s="38">
        <v>0.0013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55.0</v>
      </c>
      <c r="G3" s="38">
        <v>0.5556</v>
      </c>
      <c r="H3" s="10">
        <v>26.0</v>
      </c>
      <c r="I3" s="38">
        <v>0.65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249.0</v>
      </c>
      <c r="E4" s="38">
        <v>0.5102</v>
      </c>
      <c r="F4" s="10">
        <v>39.0</v>
      </c>
      <c r="G4" s="38">
        <v>0.3939</v>
      </c>
      <c r="H4" s="10">
        <v>6.0</v>
      </c>
      <c r="I4" s="38">
        <v>0.15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258.0</v>
      </c>
      <c r="E5" s="38">
        <v>0.5287</v>
      </c>
      <c r="F5" s="10">
        <v>66.0</v>
      </c>
      <c r="G5" s="38">
        <v>0.6667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230.0</v>
      </c>
      <c r="E6" s="38">
        <v>0.4713</v>
      </c>
      <c r="F6" s="10">
        <v>33.0</v>
      </c>
      <c r="G6" s="38">
        <v>0.3333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221.0</v>
      </c>
      <c r="E7" s="38">
        <v>0.4529</v>
      </c>
      <c r="F7" s="10">
        <v>49.0</v>
      </c>
      <c r="G7" s="38">
        <v>0.4949</v>
      </c>
      <c r="H7" s="10">
        <v>8.0</v>
      </c>
      <c r="I7" s="38">
        <v>0.2</v>
      </c>
      <c r="J7" s="10" t="s">
        <v>40</v>
      </c>
      <c r="L7" s="10">
        <v>0.0</v>
      </c>
    </row>
    <row r="8">
      <c r="A8" s="10" t="s">
        <v>48</v>
      </c>
      <c r="D8" s="10">
        <v>267.0</v>
      </c>
      <c r="E8" s="38">
        <v>0.5471</v>
      </c>
      <c r="F8" s="10">
        <v>52.0</v>
      </c>
      <c r="G8" s="38">
        <v>0.5253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190.0</v>
      </c>
      <c r="E9" s="38">
        <v>0.3893</v>
      </c>
      <c r="F9" s="10">
        <v>38.0</v>
      </c>
      <c r="G9" s="38">
        <v>0.3838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32.0</v>
      </c>
      <c r="E11" s="38">
        <v>0.0656</v>
      </c>
      <c r="F11" s="10">
        <v>8.0</v>
      </c>
      <c r="G11" s="38">
        <v>0.0808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174.0</v>
      </c>
      <c r="E12" s="38">
        <v>0.3566</v>
      </c>
      <c r="F12" s="10">
        <v>44.0</v>
      </c>
      <c r="G12" s="38">
        <v>0.4444</v>
      </c>
      <c r="H12" s="10">
        <v>13.0</v>
      </c>
      <c r="I12" s="38">
        <v>0.325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66.0</v>
      </c>
      <c r="E13" s="38">
        <v>0.1352</v>
      </c>
      <c r="F13" s="10">
        <v>19.0</v>
      </c>
      <c r="G13" s="38">
        <v>0.1919</v>
      </c>
      <c r="H13" s="10">
        <v>15.0</v>
      </c>
      <c r="I13" s="38">
        <v>0.375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93.0</v>
      </c>
      <c r="E14" s="38">
        <v>0.1906</v>
      </c>
      <c r="F14" s="10">
        <v>15.0</v>
      </c>
      <c r="G14" s="38">
        <v>0.1515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243.0</v>
      </c>
      <c r="E15" s="38">
        <v>0.498</v>
      </c>
      <c r="F15" s="10">
        <v>55.0</v>
      </c>
      <c r="G15" s="38">
        <v>0.5556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60.0</v>
      </c>
      <c r="E16" s="38">
        <v>0.123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4.0</v>
      </c>
      <c r="I17" s="38">
        <v>0.1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30.0</v>
      </c>
      <c r="E18" s="38">
        <v>0.0615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22.0</v>
      </c>
      <c r="E19" s="38">
        <v>0.0451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12.0</v>
      </c>
      <c r="E20" s="38">
        <v>0.0246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253.0</v>
      </c>
      <c r="E22" s="38">
        <v>0.5184</v>
      </c>
      <c r="F22" s="10">
        <v>54.0</v>
      </c>
      <c r="G22" s="38">
        <v>0.5455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165.0</v>
      </c>
      <c r="E23" s="38">
        <v>0.3381</v>
      </c>
      <c r="F23" s="10">
        <v>36.0</v>
      </c>
      <c r="G23" s="38">
        <v>0.3636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34.0</v>
      </c>
      <c r="E24" s="38">
        <v>0.0697</v>
      </c>
      <c r="F24" s="10">
        <v>16.0</v>
      </c>
      <c r="G24" s="38">
        <v>0.1616</v>
      </c>
      <c r="H24" s="10">
        <v>3.0</v>
      </c>
      <c r="I24" s="38">
        <v>0.075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64.0</v>
      </c>
      <c r="E25" s="38">
        <v>0.1311</v>
      </c>
      <c r="F25" s="10">
        <v>22.0</v>
      </c>
      <c r="G25" s="38">
        <v>0.2222</v>
      </c>
      <c r="H25" s="10">
        <v>5.0</v>
      </c>
      <c r="I25" s="38">
        <v>0.125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46.0</v>
      </c>
      <c r="E26" s="38">
        <v>0.0943</v>
      </c>
      <c r="F26" s="10">
        <v>6.0</v>
      </c>
      <c r="G26" s="38">
        <v>0.0606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174.0</v>
      </c>
      <c r="E27" s="38">
        <v>0.3566</v>
      </c>
      <c r="F27" s="10">
        <v>34.0</v>
      </c>
      <c r="G27" s="38">
        <v>0.3434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129.0</v>
      </c>
      <c r="E28" s="38">
        <v>0.2643</v>
      </c>
      <c r="F28" s="10">
        <v>27.0</v>
      </c>
      <c r="G28" s="38">
        <v>0.2727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16.0</v>
      </c>
      <c r="E29" s="38">
        <v>0.0328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98.0</v>
      </c>
      <c r="E30" s="38">
        <v>0.2008</v>
      </c>
      <c r="F30" s="10">
        <v>21.0</v>
      </c>
      <c r="G30" s="38">
        <v>0.2121</v>
      </c>
      <c r="H30" s="10">
        <v>4.0</v>
      </c>
      <c r="I30" s="38">
        <v>0.1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140.0</v>
      </c>
      <c r="E32" s="38">
        <v>0.2869</v>
      </c>
      <c r="F32" s="10">
        <v>36.0</v>
      </c>
      <c r="G32" s="38">
        <v>0.3636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17.0</v>
      </c>
      <c r="E33" s="38">
        <v>0.0348</v>
      </c>
      <c r="F33" s="10">
        <v>2.0</v>
      </c>
      <c r="G33" s="38">
        <v>0.0202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146.0</v>
      </c>
      <c r="E34" s="38">
        <v>0.2992</v>
      </c>
      <c r="F34" s="10">
        <v>34.0</v>
      </c>
      <c r="G34" s="38">
        <v>0.3434</v>
      </c>
      <c r="H34" s="10">
        <v>11.0</v>
      </c>
      <c r="I34" s="38">
        <v>0.275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4.0</v>
      </c>
      <c r="G35" s="38">
        <v>0.0404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72.0</v>
      </c>
      <c r="E36" s="38">
        <v>0.1475</v>
      </c>
      <c r="F36" s="10">
        <v>8.0</v>
      </c>
      <c r="G36" s="38">
        <v>0.0808</v>
      </c>
      <c r="H36" s="10">
        <v>2.0</v>
      </c>
      <c r="I36" s="38">
        <v>0.05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288.0</v>
      </c>
      <c r="E37" s="38">
        <v>0.5902</v>
      </c>
      <c r="F37" s="10">
        <v>50.0</v>
      </c>
      <c r="G37" s="38">
        <v>0.5051</v>
      </c>
      <c r="H37" s="10">
        <v>23.0</v>
      </c>
      <c r="I37" s="38">
        <v>0.575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193.0</v>
      </c>
      <c r="E38" s="38">
        <v>0.3955</v>
      </c>
      <c r="F38" s="10">
        <v>41.0</v>
      </c>
      <c r="G38" s="38">
        <v>0.4141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17.0</v>
      </c>
      <c r="E39" s="38">
        <v>0.0348</v>
      </c>
      <c r="F39" s="10">
        <v>3.0</v>
      </c>
      <c r="G39" s="38">
        <v>0.0303</v>
      </c>
      <c r="H39" s="10">
        <v>2.0</v>
      </c>
      <c r="I39" s="38">
        <v>0.05</v>
      </c>
      <c r="J39" s="10" t="s">
        <v>40</v>
      </c>
      <c r="K39" s="10" t="s">
        <v>43</v>
      </c>
    </row>
    <row r="40">
      <c r="A40" s="10" t="s">
        <v>9</v>
      </c>
      <c r="D40" s="10">
        <v>196.0</v>
      </c>
      <c r="E40" s="38">
        <v>0.4016</v>
      </c>
      <c r="F40" s="10">
        <v>50.0</v>
      </c>
      <c r="G40" s="38">
        <v>0.5051</v>
      </c>
      <c r="H40" s="10">
        <v>18.0</v>
      </c>
      <c r="I40" s="38">
        <v>0.45</v>
      </c>
      <c r="J40" s="10" t="s">
        <v>40</v>
      </c>
    </row>
    <row r="41">
      <c r="A41" s="10" t="s">
        <v>6</v>
      </c>
      <c r="D41" s="10">
        <v>52.0</v>
      </c>
      <c r="E41" s="38">
        <v>0.1066</v>
      </c>
      <c r="F41" s="10">
        <v>9.0</v>
      </c>
      <c r="G41" s="38">
        <v>0.0909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29.0</v>
      </c>
      <c r="E42" s="38">
        <v>0.0594</v>
      </c>
      <c r="F42" s="10">
        <v>2.0</v>
      </c>
      <c r="G42" s="38">
        <v>0.0202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67.0</v>
      </c>
      <c r="E43" s="38">
        <v>0.1373</v>
      </c>
      <c r="F43" s="10">
        <v>16.0</v>
      </c>
      <c r="G43" s="38">
        <v>0.1616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32.0</v>
      </c>
      <c r="E44" s="38">
        <v>0.0656</v>
      </c>
      <c r="F44" s="10">
        <v>4.0</v>
      </c>
      <c r="G44" s="38">
        <v>0.0404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5.0</v>
      </c>
      <c r="E45" s="38">
        <v>0.0102</v>
      </c>
      <c r="F45" s="10">
        <v>1.0</v>
      </c>
      <c r="G45" s="38">
        <v>0.0101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0.001795642026</v>
      </c>
      <c r="I46" s="38">
        <v>0.0018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226.0</v>
      </c>
      <c r="E3" s="38">
        <v>0.4631</v>
      </c>
      <c r="F3" s="10">
        <v>54.0</v>
      </c>
      <c r="G3" s="38">
        <v>0.5455</v>
      </c>
      <c r="H3" s="10">
        <v>23.0</v>
      </c>
      <c r="I3" s="38">
        <v>0.575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37.0</v>
      </c>
      <c r="G4" s="38">
        <v>0.3737</v>
      </c>
      <c r="H4" s="10">
        <v>10.0</v>
      </c>
      <c r="I4" s="38">
        <v>0.25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268.0</v>
      </c>
      <c r="E5" s="38">
        <v>0.5492</v>
      </c>
      <c r="F5" s="10">
        <v>66.0</v>
      </c>
      <c r="G5" s="38">
        <v>0.6667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220.0</v>
      </c>
      <c r="E6" s="38">
        <v>0.4508</v>
      </c>
      <c r="F6" s="10">
        <v>33.0</v>
      </c>
      <c r="G6" s="38">
        <v>0.3333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224.0</v>
      </c>
      <c r="E7" s="38">
        <v>0.459</v>
      </c>
      <c r="F7" s="10">
        <v>48.0</v>
      </c>
      <c r="G7" s="38">
        <v>0.4848</v>
      </c>
      <c r="H7" s="10">
        <v>8.0</v>
      </c>
      <c r="I7" s="38">
        <v>0.2</v>
      </c>
      <c r="J7" s="10" t="s">
        <v>40</v>
      </c>
      <c r="L7" s="10">
        <v>0.0</v>
      </c>
    </row>
    <row r="8">
      <c r="A8" s="10" t="s">
        <v>48</v>
      </c>
      <c r="D8" s="10">
        <v>264.0</v>
      </c>
      <c r="E8" s="38">
        <v>0.541</v>
      </c>
      <c r="F8" s="10">
        <v>53.0</v>
      </c>
      <c r="G8" s="38">
        <v>0.5354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182.0</v>
      </c>
      <c r="E9" s="38">
        <v>0.373</v>
      </c>
      <c r="F9" s="10">
        <v>37.0</v>
      </c>
      <c r="G9" s="38">
        <v>0.3737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36.0</v>
      </c>
      <c r="E11" s="38">
        <v>0.0738</v>
      </c>
      <c r="F11" s="10">
        <v>6.0</v>
      </c>
      <c r="G11" s="38">
        <v>0.0606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168.0</v>
      </c>
      <c r="E12" s="38">
        <v>0.3443</v>
      </c>
      <c r="F12" s="10">
        <v>42.0</v>
      </c>
      <c r="G12" s="38">
        <v>0.4242</v>
      </c>
      <c r="H12" s="10">
        <v>11.0</v>
      </c>
      <c r="I12" s="38">
        <v>0.275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55.0</v>
      </c>
      <c r="E13" s="38">
        <v>0.1127</v>
      </c>
      <c r="F13" s="10">
        <v>17.0</v>
      </c>
      <c r="G13" s="38">
        <v>0.1717</v>
      </c>
      <c r="H13" s="10">
        <v>14.0</v>
      </c>
      <c r="I13" s="38">
        <v>0.35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93.0</v>
      </c>
      <c r="E14" s="38">
        <v>0.1906</v>
      </c>
      <c r="F14" s="10">
        <v>14.0</v>
      </c>
      <c r="G14" s="38">
        <v>0.1414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251.0</v>
      </c>
      <c r="E15" s="38">
        <v>0.5143</v>
      </c>
      <c r="F15" s="10">
        <v>63.0</v>
      </c>
      <c r="G15" s="38">
        <v>0.6364</v>
      </c>
      <c r="H15" s="10">
        <v>30.0</v>
      </c>
      <c r="I15" s="38">
        <v>0.75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59.0</v>
      </c>
      <c r="E16" s="38">
        <v>0.1209</v>
      </c>
      <c r="F16" s="10">
        <v>4.0</v>
      </c>
      <c r="G16" s="38">
        <v>0.0404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5.0</v>
      </c>
      <c r="G17" s="38">
        <v>0.0505</v>
      </c>
      <c r="H17" s="10">
        <v>2.0</v>
      </c>
      <c r="I17" s="38">
        <v>0.05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12.0</v>
      </c>
      <c r="E18" s="38">
        <v>0.0246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167.0</v>
      </c>
      <c r="E19" s="38">
        <v>0.3422</v>
      </c>
      <c r="F19" s="10">
        <v>24.0</v>
      </c>
      <c r="G19" s="38">
        <v>0.2424</v>
      </c>
      <c r="H19" s="10">
        <v>2.0</v>
      </c>
      <c r="I19" s="38">
        <v>0.05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6.0</v>
      </c>
      <c r="E20" s="38">
        <v>0.0123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34.0</v>
      </c>
      <c r="E21" s="38">
        <v>0.0697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246.0</v>
      </c>
      <c r="E22" s="38">
        <v>0.5041</v>
      </c>
      <c r="F22" s="10">
        <v>41.0</v>
      </c>
      <c r="G22" s="38">
        <v>0.4141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174.0</v>
      </c>
      <c r="E23" s="38">
        <v>0.3566</v>
      </c>
      <c r="F23" s="10">
        <v>41.0</v>
      </c>
      <c r="G23" s="38">
        <v>0.4141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64.0</v>
      </c>
      <c r="E24" s="38">
        <v>0.1311</v>
      </c>
      <c r="F24" s="10">
        <v>22.0</v>
      </c>
      <c r="G24" s="38">
        <v>0.2222</v>
      </c>
      <c r="H24" s="10">
        <v>17.0</v>
      </c>
      <c r="I24" s="38">
        <v>0.425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51.0</v>
      </c>
      <c r="E25" s="38">
        <v>0.1045</v>
      </c>
      <c r="F25" s="10">
        <v>16.0</v>
      </c>
      <c r="G25" s="38">
        <v>0.1616</v>
      </c>
      <c r="H25" s="10">
        <v>3.0</v>
      </c>
      <c r="I25" s="38">
        <v>0.075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65.0</v>
      </c>
      <c r="E26" s="38">
        <v>0.1332</v>
      </c>
      <c r="F26" s="10">
        <v>8.0</v>
      </c>
      <c r="G26" s="38">
        <v>0.0808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181.0</v>
      </c>
      <c r="E27" s="38">
        <v>0.3709</v>
      </c>
      <c r="F27" s="10">
        <v>45.0</v>
      </c>
      <c r="G27" s="38">
        <v>0.4545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116.0</v>
      </c>
      <c r="E28" s="38">
        <v>0.2377</v>
      </c>
      <c r="F28" s="10">
        <v>21.0</v>
      </c>
      <c r="G28" s="38">
        <v>0.2121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24.0</v>
      </c>
      <c r="E29" s="38">
        <v>0.0492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95.0</v>
      </c>
      <c r="E30" s="38">
        <v>0.1947</v>
      </c>
      <c r="F30" s="10">
        <v>18.0</v>
      </c>
      <c r="G30" s="38">
        <v>0.1818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133.0</v>
      </c>
      <c r="E32" s="38">
        <v>0.2725</v>
      </c>
      <c r="F32" s="10">
        <v>34.0</v>
      </c>
      <c r="G32" s="38">
        <v>0.3434</v>
      </c>
      <c r="H32" s="10">
        <v>10.0</v>
      </c>
      <c r="I32" s="38">
        <v>0.25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25.0</v>
      </c>
      <c r="E33" s="38">
        <v>0.0512</v>
      </c>
      <c r="F33" s="10">
        <v>0.0</v>
      </c>
      <c r="G33" s="38">
        <v>0.0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138.0</v>
      </c>
      <c r="E34" s="38">
        <v>0.2828</v>
      </c>
      <c r="F34" s="10">
        <v>30.0</v>
      </c>
      <c r="G34" s="38">
        <v>0.303</v>
      </c>
      <c r="H34" s="10">
        <v>6.0</v>
      </c>
      <c r="I34" s="38">
        <v>0.15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35.0</v>
      </c>
      <c r="E36" s="38">
        <v>0.0717</v>
      </c>
      <c r="F36" s="10">
        <v>5.0</v>
      </c>
      <c r="G36" s="38">
        <v>0.0505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264.0</v>
      </c>
      <c r="E37" s="38">
        <v>0.541</v>
      </c>
      <c r="F37" s="10">
        <v>42.0</v>
      </c>
      <c r="G37" s="38">
        <v>0.4242</v>
      </c>
      <c r="H37" s="10">
        <v>20.0</v>
      </c>
      <c r="I37" s="38">
        <v>0.5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175.0</v>
      </c>
      <c r="E38" s="38">
        <v>0.3586</v>
      </c>
      <c r="F38" s="10">
        <v>34.0</v>
      </c>
      <c r="G38" s="38">
        <v>0.3434</v>
      </c>
      <c r="H38" s="10">
        <v>11.0</v>
      </c>
      <c r="I38" s="38">
        <v>0.275</v>
      </c>
      <c r="J38" s="10" t="s">
        <v>40</v>
      </c>
      <c r="K38" s="10" t="s">
        <v>43</v>
      </c>
    </row>
    <row r="39">
      <c r="A39" s="10" t="s">
        <v>78</v>
      </c>
      <c r="D39" s="10">
        <v>13.0</v>
      </c>
      <c r="E39" s="38">
        <v>0.0266</v>
      </c>
      <c r="F39" s="10">
        <v>3.0</v>
      </c>
      <c r="G39" s="38">
        <v>0.0303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220.0</v>
      </c>
      <c r="E40" s="38">
        <v>0.4508</v>
      </c>
      <c r="F40" s="10">
        <v>58.0</v>
      </c>
      <c r="G40" s="38">
        <v>0.5859</v>
      </c>
      <c r="H40" s="10">
        <v>20.0</v>
      </c>
      <c r="I40" s="38">
        <v>0.5</v>
      </c>
      <c r="J40" s="10" t="s">
        <v>40</v>
      </c>
    </row>
    <row r="41">
      <c r="A41" s="10" t="s">
        <v>6</v>
      </c>
      <c r="D41" s="10">
        <v>56.0</v>
      </c>
      <c r="E41" s="38">
        <v>0.1148</v>
      </c>
      <c r="F41" s="10">
        <v>9.0</v>
      </c>
      <c r="G41" s="38">
        <v>0.0909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32.0</v>
      </c>
      <c r="E42" s="38">
        <v>0.0656</v>
      </c>
      <c r="F42" s="10">
        <v>4.0</v>
      </c>
      <c r="G42" s="38">
        <v>0.0404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64.0</v>
      </c>
      <c r="E43" s="38">
        <v>0.1311</v>
      </c>
      <c r="F43" s="10">
        <v>13.0</v>
      </c>
      <c r="G43" s="38">
        <v>0.1313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23.0</v>
      </c>
      <c r="E44" s="38">
        <v>0.0471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9.0</v>
      </c>
      <c r="E45" s="38">
        <v>0.0184</v>
      </c>
      <c r="F45" s="10">
        <v>4.0</v>
      </c>
      <c r="G45" s="38">
        <v>0.0404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0.00314720236</v>
      </c>
      <c r="I46" s="38">
        <v>0.0031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0.3</v>
      </c>
    </row>
    <row r="50">
      <c r="A50" s="10" t="s">
        <v>87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226.0</v>
      </c>
      <c r="E3" s="38">
        <v>0.4631</v>
      </c>
      <c r="F3" s="10">
        <v>54.0</v>
      </c>
      <c r="G3" s="38">
        <v>0.5455</v>
      </c>
      <c r="H3" s="10">
        <v>23.0</v>
      </c>
      <c r="I3" s="38">
        <v>0.575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37.0</v>
      </c>
      <c r="G4" s="38">
        <v>0.3737</v>
      </c>
      <c r="H4" s="10">
        <v>10.0</v>
      </c>
      <c r="I4" s="38">
        <v>0.25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283.0</v>
      </c>
      <c r="E5" s="38">
        <v>0.5799</v>
      </c>
      <c r="F5" s="10">
        <v>68.0</v>
      </c>
      <c r="G5" s="38">
        <v>0.6869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205.0</v>
      </c>
      <c r="E6" s="38">
        <v>0.4201</v>
      </c>
      <c r="F6" s="10">
        <v>31.0</v>
      </c>
      <c r="G6" s="38">
        <v>0.3131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235.0</v>
      </c>
      <c r="E7" s="38">
        <v>0.4816</v>
      </c>
      <c r="F7" s="10">
        <v>44.0</v>
      </c>
      <c r="G7" s="38">
        <v>0.4444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253.0</v>
      </c>
      <c r="E8" s="38">
        <v>0.5184</v>
      </c>
      <c r="F8" s="10">
        <v>57.0</v>
      </c>
      <c r="G8" s="38">
        <v>0.5758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182.0</v>
      </c>
      <c r="E9" s="38">
        <v>0.373</v>
      </c>
      <c r="F9" s="10">
        <v>33.0</v>
      </c>
      <c r="G9" s="38">
        <v>0.3333</v>
      </c>
      <c r="H9" s="10">
        <v>9.0</v>
      </c>
      <c r="I9" s="38">
        <v>0.225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33.0</v>
      </c>
      <c r="E11" s="38">
        <v>0.0676</v>
      </c>
      <c r="F11" s="10">
        <v>7.0</v>
      </c>
      <c r="G11" s="38">
        <v>0.0707</v>
      </c>
      <c r="H11" s="10">
        <v>10.0</v>
      </c>
      <c r="I11" s="38">
        <v>0.25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224.0</v>
      </c>
      <c r="E12" s="38">
        <v>0.459</v>
      </c>
      <c r="F12" s="10">
        <v>51.0</v>
      </c>
      <c r="G12" s="38">
        <v>0.5152</v>
      </c>
      <c r="H12" s="10">
        <v>26.0</v>
      </c>
      <c r="I12" s="38">
        <v>0.65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65.0</v>
      </c>
      <c r="E13" s="38">
        <v>0.1332</v>
      </c>
      <c r="F13" s="10">
        <v>23.0</v>
      </c>
      <c r="G13" s="38">
        <v>0.2323</v>
      </c>
      <c r="H13" s="10">
        <v>6.0</v>
      </c>
      <c r="I13" s="38">
        <v>0.15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87.0</v>
      </c>
      <c r="E14" s="38">
        <v>0.1783</v>
      </c>
      <c r="F14" s="10">
        <v>11.0</v>
      </c>
      <c r="G14" s="38">
        <v>0.1111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251.0</v>
      </c>
      <c r="E15" s="38">
        <v>0.5143</v>
      </c>
      <c r="F15" s="10">
        <v>63.0</v>
      </c>
      <c r="G15" s="38">
        <v>0.6364</v>
      </c>
      <c r="H15" s="10">
        <v>30.0</v>
      </c>
      <c r="I15" s="38">
        <v>0.75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59.0</v>
      </c>
      <c r="E16" s="38">
        <v>0.1209</v>
      </c>
      <c r="F16" s="10">
        <v>4.0</v>
      </c>
      <c r="G16" s="38">
        <v>0.0404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5.0</v>
      </c>
      <c r="G17" s="38">
        <v>0.0505</v>
      </c>
      <c r="H17" s="10">
        <v>2.0</v>
      </c>
      <c r="I17" s="38">
        <v>0.05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16.0</v>
      </c>
      <c r="E18" s="38">
        <v>0.0328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44.0</v>
      </c>
      <c r="E19" s="38">
        <v>0.0902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6.0</v>
      </c>
      <c r="E20" s="38">
        <v>0.0123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11.0</v>
      </c>
      <c r="E21" s="38">
        <v>0.0225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227.0</v>
      </c>
      <c r="E22" s="38">
        <v>0.4652</v>
      </c>
      <c r="F22" s="10">
        <v>42.0</v>
      </c>
      <c r="G22" s="38">
        <v>0.4242</v>
      </c>
      <c r="H22" s="10">
        <v>15.0</v>
      </c>
      <c r="I22" s="38">
        <v>0.375</v>
      </c>
      <c r="J22" s="10" t="s">
        <v>40</v>
      </c>
    </row>
    <row r="23">
      <c r="A23" s="10" t="s">
        <v>64</v>
      </c>
      <c r="D23" s="10">
        <v>204.0</v>
      </c>
      <c r="E23" s="38">
        <v>0.418</v>
      </c>
      <c r="F23" s="10">
        <v>42.0</v>
      </c>
      <c r="G23" s="38">
        <v>0.4242</v>
      </c>
      <c r="H23" s="10">
        <v>13.0</v>
      </c>
      <c r="I23" s="38">
        <v>0.325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117.0</v>
      </c>
      <c r="E24" s="38">
        <v>0.2398</v>
      </c>
      <c r="F24" s="10">
        <v>27.0</v>
      </c>
      <c r="G24" s="38">
        <v>0.2727</v>
      </c>
      <c r="H24" s="10">
        <v>19.0</v>
      </c>
      <c r="I24" s="38">
        <v>0.475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72.0</v>
      </c>
      <c r="E25" s="38">
        <v>0.1475</v>
      </c>
      <c r="F25" s="10">
        <v>15.0</v>
      </c>
      <c r="G25" s="38">
        <v>0.1515</v>
      </c>
      <c r="H25" s="10">
        <v>9.0</v>
      </c>
      <c r="I25" s="38">
        <v>0.225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99.0</v>
      </c>
      <c r="E26" s="38">
        <v>0.2029</v>
      </c>
      <c r="F26" s="10">
        <v>14.0</v>
      </c>
      <c r="G26" s="38">
        <v>0.1414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127.0</v>
      </c>
      <c r="E27" s="38">
        <v>0.2602</v>
      </c>
      <c r="F27" s="10">
        <v>24.0</v>
      </c>
      <c r="G27" s="38">
        <v>0.2424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84.0</v>
      </c>
      <c r="E28" s="38">
        <v>0.1721</v>
      </c>
      <c r="F28" s="10">
        <v>14.0</v>
      </c>
      <c r="G28" s="38">
        <v>0.1414</v>
      </c>
      <c r="H28" s="10">
        <v>1.0</v>
      </c>
      <c r="I28" s="38">
        <v>0.025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40.0</v>
      </c>
      <c r="E29" s="38">
        <v>0.082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95.0</v>
      </c>
      <c r="E30" s="38">
        <v>0.1947</v>
      </c>
      <c r="F30" s="10">
        <v>18.0</v>
      </c>
      <c r="G30" s="38">
        <v>0.1818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122.0</v>
      </c>
      <c r="E32" s="38">
        <v>0.25</v>
      </c>
      <c r="F32" s="10">
        <v>31.0</v>
      </c>
      <c r="G32" s="38">
        <v>0.3131</v>
      </c>
      <c r="H32" s="10">
        <v>6.0</v>
      </c>
      <c r="I32" s="38">
        <v>0.15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42.0</v>
      </c>
      <c r="E33" s="38">
        <v>0.0861</v>
      </c>
      <c r="F33" s="10">
        <v>4.0</v>
      </c>
      <c r="G33" s="38">
        <v>0.0404</v>
      </c>
      <c r="H33" s="10">
        <v>3.0</v>
      </c>
      <c r="I33" s="38">
        <v>0.075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138.0</v>
      </c>
      <c r="E34" s="38">
        <v>0.2828</v>
      </c>
      <c r="F34" s="10">
        <v>30.0</v>
      </c>
      <c r="G34" s="38">
        <v>0.303</v>
      </c>
      <c r="H34" s="10">
        <v>6.0</v>
      </c>
      <c r="I34" s="38">
        <v>0.15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29.0</v>
      </c>
      <c r="E36" s="38">
        <v>0.0594</v>
      </c>
      <c r="F36" s="10">
        <v>3.0</v>
      </c>
      <c r="G36" s="38">
        <v>0.0303</v>
      </c>
      <c r="H36" s="10">
        <v>0.0</v>
      </c>
      <c r="I36" s="38">
        <v>0.0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247.0</v>
      </c>
      <c r="E37" s="38">
        <v>0.5061</v>
      </c>
      <c r="F37" s="10">
        <v>41.0</v>
      </c>
      <c r="G37" s="38">
        <v>0.4141</v>
      </c>
      <c r="H37" s="10">
        <v>17.0</v>
      </c>
      <c r="I37" s="38">
        <v>0.425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139.0</v>
      </c>
      <c r="E38" s="38">
        <v>0.2848</v>
      </c>
      <c r="F38" s="10">
        <v>30.0</v>
      </c>
      <c r="G38" s="38">
        <v>0.303</v>
      </c>
      <c r="H38" s="10">
        <v>7.0</v>
      </c>
      <c r="I38" s="38">
        <v>0.175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235.0</v>
      </c>
      <c r="E40" s="38">
        <v>0.4816</v>
      </c>
      <c r="F40" s="10">
        <v>59.0</v>
      </c>
      <c r="G40" s="38">
        <v>0.596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71.0</v>
      </c>
      <c r="E41" s="38">
        <v>0.1455</v>
      </c>
      <c r="F41" s="10">
        <v>13.0</v>
      </c>
      <c r="G41" s="38">
        <v>0.1313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56.0</v>
      </c>
      <c r="E42" s="38">
        <v>0.1148</v>
      </c>
      <c r="F42" s="10">
        <v>8.0</v>
      </c>
      <c r="G42" s="38">
        <v>0.0808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67.0</v>
      </c>
      <c r="E43" s="38">
        <v>0.1373</v>
      </c>
      <c r="F43" s="10">
        <v>12.0</v>
      </c>
      <c r="G43" s="38">
        <v>0.1212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14.0</v>
      </c>
      <c r="E44" s="38">
        <v>0.0287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29.0</v>
      </c>
      <c r="E45" s="38">
        <v>0.0594</v>
      </c>
      <c r="F45" s="10">
        <v>6.0</v>
      </c>
      <c r="G45" s="38">
        <v>0.0606</v>
      </c>
      <c r="H45" s="10">
        <v>3.0</v>
      </c>
      <c r="I45" s="38">
        <v>0.075</v>
      </c>
      <c r="J45" s="10" t="s">
        <v>40</v>
      </c>
      <c r="K45" s="10" t="s">
        <v>81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-0.004858025309</v>
      </c>
      <c r="I46" s="38">
        <v>-0.0049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226.0</v>
      </c>
      <c r="E3" s="38">
        <v>0.4631</v>
      </c>
      <c r="F3" s="10">
        <v>54.0</v>
      </c>
      <c r="G3" s="38">
        <v>0.5455</v>
      </c>
      <c r="H3" s="10">
        <v>23.0</v>
      </c>
      <c r="I3" s="38">
        <v>0.575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247.0</v>
      </c>
      <c r="E4" s="38">
        <v>0.5061</v>
      </c>
      <c r="F4" s="10">
        <v>37.0</v>
      </c>
      <c r="G4" s="38">
        <v>0.3737</v>
      </c>
      <c r="H4" s="10">
        <v>10.0</v>
      </c>
      <c r="I4" s="38">
        <v>0.25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284.0</v>
      </c>
      <c r="E5" s="38">
        <v>0.582</v>
      </c>
      <c r="F5" s="10">
        <v>74.0</v>
      </c>
      <c r="G5" s="38">
        <v>0.7475</v>
      </c>
      <c r="H5" s="10">
        <v>32.0</v>
      </c>
      <c r="I5" s="38">
        <v>0.8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204.0</v>
      </c>
      <c r="E6" s="38">
        <v>0.418</v>
      </c>
      <c r="F6" s="10">
        <v>25.0</v>
      </c>
      <c r="G6" s="38">
        <v>0.2525</v>
      </c>
      <c r="H6" s="10">
        <v>1.0</v>
      </c>
      <c r="I6" s="38">
        <v>0.025</v>
      </c>
      <c r="J6" s="10" t="s">
        <v>40</v>
      </c>
    </row>
    <row r="7">
      <c r="A7" s="10" t="s">
        <v>47</v>
      </c>
      <c r="D7" s="10">
        <v>221.0</v>
      </c>
      <c r="E7" s="38">
        <v>0.4529</v>
      </c>
      <c r="F7" s="10">
        <v>40.0</v>
      </c>
      <c r="G7" s="38">
        <v>0.404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267.0</v>
      </c>
      <c r="E8" s="38">
        <v>0.5471</v>
      </c>
      <c r="F8" s="10">
        <v>61.0</v>
      </c>
      <c r="G8" s="38">
        <v>0.6162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185.0</v>
      </c>
      <c r="E9" s="38">
        <v>0.3791</v>
      </c>
      <c r="F9" s="10">
        <v>31.0</v>
      </c>
      <c r="G9" s="38">
        <v>0.3131</v>
      </c>
      <c r="H9" s="10">
        <v>9.0</v>
      </c>
      <c r="I9" s="38">
        <v>0.225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48.0</v>
      </c>
      <c r="E11" s="38">
        <v>0.0984</v>
      </c>
      <c r="F11" s="10">
        <v>6.0</v>
      </c>
      <c r="G11" s="38">
        <v>0.0606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260.0</v>
      </c>
      <c r="E12" s="38">
        <v>0.5328</v>
      </c>
      <c r="F12" s="10">
        <v>60.0</v>
      </c>
      <c r="G12" s="38">
        <v>0.6061</v>
      </c>
      <c r="H12" s="10">
        <v>30.0</v>
      </c>
      <c r="I12" s="38">
        <v>0.75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63.0</v>
      </c>
      <c r="E13" s="38">
        <v>0.1291</v>
      </c>
      <c r="F13" s="10">
        <v>21.0</v>
      </c>
      <c r="G13" s="38">
        <v>0.2121</v>
      </c>
      <c r="H13" s="10">
        <v>4.0</v>
      </c>
      <c r="I13" s="38">
        <v>0.1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53.0</v>
      </c>
      <c r="E14" s="38">
        <v>0.1086</v>
      </c>
      <c r="F14" s="10">
        <v>11.0</v>
      </c>
      <c r="G14" s="38">
        <v>0.1111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251.0</v>
      </c>
      <c r="E15" s="38">
        <v>0.5143</v>
      </c>
      <c r="F15" s="10">
        <v>63.0</v>
      </c>
      <c r="G15" s="38">
        <v>0.6364</v>
      </c>
      <c r="H15" s="10">
        <v>30.0</v>
      </c>
      <c r="I15" s="38">
        <v>0.75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59.0</v>
      </c>
      <c r="E16" s="38">
        <v>0.1209</v>
      </c>
      <c r="F16" s="10">
        <v>4.0</v>
      </c>
      <c r="G16" s="38">
        <v>0.0404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27.0</v>
      </c>
      <c r="E17" s="38">
        <v>0.0553</v>
      </c>
      <c r="F17" s="10">
        <v>5.0</v>
      </c>
      <c r="G17" s="38">
        <v>0.0505</v>
      </c>
      <c r="H17" s="10">
        <v>2.0</v>
      </c>
      <c r="I17" s="38">
        <v>0.05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79.0</v>
      </c>
      <c r="E18" s="38">
        <v>0.1619</v>
      </c>
      <c r="F18" s="10">
        <v>12.0</v>
      </c>
      <c r="G18" s="38">
        <v>0.1212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20.0</v>
      </c>
      <c r="E19" s="38">
        <v>0.041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24.0</v>
      </c>
      <c r="E20" s="38">
        <v>0.0492</v>
      </c>
      <c r="F20" s="10">
        <v>4.0</v>
      </c>
      <c r="G20" s="38">
        <v>0.0404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7.0</v>
      </c>
      <c r="E21" s="38">
        <v>0.0143</v>
      </c>
      <c r="F21" s="10">
        <v>12.0</v>
      </c>
      <c r="G21" s="38">
        <v>0.1212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238.0</v>
      </c>
      <c r="E22" s="38">
        <v>0.4877</v>
      </c>
      <c r="F22" s="10">
        <v>44.0</v>
      </c>
      <c r="G22" s="38">
        <v>0.4444</v>
      </c>
      <c r="H22" s="10">
        <v>17.0</v>
      </c>
      <c r="I22" s="38">
        <v>0.425</v>
      </c>
      <c r="J22" s="10" t="s">
        <v>40</v>
      </c>
    </row>
    <row r="23">
      <c r="A23" s="10" t="s">
        <v>64</v>
      </c>
      <c r="D23" s="10">
        <v>195.0</v>
      </c>
      <c r="E23" s="38">
        <v>0.3996</v>
      </c>
      <c r="F23" s="10">
        <v>35.0</v>
      </c>
      <c r="G23" s="38">
        <v>0.3535</v>
      </c>
      <c r="H23" s="10">
        <v>14.0</v>
      </c>
      <c r="I23" s="38">
        <v>0.35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74.0</v>
      </c>
      <c r="E24" s="38">
        <v>0.1516</v>
      </c>
      <c r="F24" s="10">
        <v>16.0</v>
      </c>
      <c r="G24" s="38">
        <v>0.1616</v>
      </c>
      <c r="H24" s="10">
        <v>5.0</v>
      </c>
      <c r="I24" s="38">
        <v>0.125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129.0</v>
      </c>
      <c r="E25" s="38">
        <v>0.2643</v>
      </c>
      <c r="F25" s="10">
        <v>33.0</v>
      </c>
      <c r="G25" s="38">
        <v>0.3333</v>
      </c>
      <c r="H25" s="10">
        <v>21.0</v>
      </c>
      <c r="I25" s="38">
        <v>0.525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127.0</v>
      </c>
      <c r="E26" s="38">
        <v>0.2602</v>
      </c>
      <c r="F26" s="10">
        <v>16.0</v>
      </c>
      <c r="G26" s="38">
        <v>0.1616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107.0</v>
      </c>
      <c r="E27" s="38">
        <v>0.2193</v>
      </c>
      <c r="F27" s="10">
        <v>22.0</v>
      </c>
      <c r="G27" s="38">
        <v>0.2222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99.0</v>
      </c>
      <c r="E28" s="38">
        <v>0.2029</v>
      </c>
      <c r="F28" s="10">
        <v>18.0</v>
      </c>
      <c r="G28" s="38">
        <v>0.1818</v>
      </c>
      <c r="H28" s="10">
        <v>1.0</v>
      </c>
      <c r="I28" s="38">
        <v>0.025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26.0</v>
      </c>
      <c r="E29" s="38">
        <v>0.0533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95.0</v>
      </c>
      <c r="E30" s="38">
        <v>0.1947</v>
      </c>
      <c r="F30" s="10">
        <v>18.0</v>
      </c>
      <c r="G30" s="38">
        <v>0.1818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10.0</v>
      </c>
      <c r="E31" s="38">
        <v>0.0205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135.0</v>
      </c>
      <c r="E32" s="38">
        <v>0.2766</v>
      </c>
      <c r="F32" s="10">
        <v>30.0</v>
      </c>
      <c r="G32" s="38">
        <v>0.303</v>
      </c>
      <c r="H32" s="10">
        <v>6.0</v>
      </c>
      <c r="I32" s="38">
        <v>0.15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28.0</v>
      </c>
      <c r="E33" s="38">
        <v>0.0574</v>
      </c>
      <c r="F33" s="10">
        <v>3.0</v>
      </c>
      <c r="G33" s="38">
        <v>0.0303</v>
      </c>
      <c r="H33" s="10">
        <v>3.0</v>
      </c>
      <c r="I33" s="38">
        <v>0.075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138.0</v>
      </c>
      <c r="E34" s="38">
        <v>0.2828</v>
      </c>
      <c r="F34" s="10">
        <v>30.0</v>
      </c>
      <c r="G34" s="38">
        <v>0.303</v>
      </c>
      <c r="H34" s="10">
        <v>6.0</v>
      </c>
      <c r="I34" s="38">
        <v>0.15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10.0</v>
      </c>
      <c r="E35" s="38">
        <v>0.0205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30.0</v>
      </c>
      <c r="E36" s="38">
        <v>0.0615</v>
      </c>
      <c r="F36" s="10">
        <v>6.0</v>
      </c>
      <c r="G36" s="38">
        <v>0.0606</v>
      </c>
      <c r="H36" s="10">
        <v>1.0</v>
      </c>
      <c r="I36" s="38">
        <v>0.025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251.0</v>
      </c>
      <c r="E37" s="38">
        <v>0.5143</v>
      </c>
      <c r="F37" s="10">
        <v>43.0</v>
      </c>
      <c r="G37" s="38">
        <v>0.4343</v>
      </c>
      <c r="H37" s="10">
        <v>16.0</v>
      </c>
      <c r="I37" s="38">
        <v>0.4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153.0</v>
      </c>
      <c r="E38" s="38">
        <v>0.3135</v>
      </c>
      <c r="F38" s="10">
        <v>32.0</v>
      </c>
      <c r="G38" s="38">
        <v>0.3232</v>
      </c>
      <c r="H38" s="10">
        <v>7.0</v>
      </c>
      <c r="I38" s="38">
        <v>0.175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0.0246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232.0</v>
      </c>
      <c r="E40" s="38">
        <v>0.4754</v>
      </c>
      <c r="F40" s="10">
        <v>58.0</v>
      </c>
      <c r="G40" s="38">
        <v>0.5859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64.0</v>
      </c>
      <c r="E41" s="38">
        <v>0.1311</v>
      </c>
      <c r="F41" s="10">
        <v>13.0</v>
      </c>
      <c r="G41" s="38">
        <v>0.1313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44.0</v>
      </c>
      <c r="E42" s="38">
        <v>0.0902</v>
      </c>
      <c r="F42" s="10">
        <v>6.0</v>
      </c>
      <c r="G42" s="38">
        <v>0.0606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66.0</v>
      </c>
      <c r="E43" s="38">
        <v>0.1352</v>
      </c>
      <c r="F43" s="10">
        <v>16.0</v>
      </c>
      <c r="G43" s="38">
        <v>0.1616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20.0</v>
      </c>
      <c r="E44" s="38">
        <v>0.041</v>
      </c>
      <c r="F44" s="10">
        <v>3.0</v>
      </c>
      <c r="G44" s="38">
        <v>0.0303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28.0</v>
      </c>
      <c r="E45" s="38">
        <v>0.0574</v>
      </c>
      <c r="F45" s="10">
        <v>6.0</v>
      </c>
      <c r="G45" s="38">
        <v>0.0606</v>
      </c>
      <c r="H45" s="10">
        <v>2.0</v>
      </c>
      <c r="I45" s="38">
        <v>0.05</v>
      </c>
      <c r="J45" s="10" t="s">
        <v>40</v>
      </c>
      <c r="K45" s="10" t="s">
        <v>81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-0.01245888282</v>
      </c>
      <c r="I46" s="38">
        <v>-0.0125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  <row r="49">
      <c r="A49" s="10" t="s">
        <v>86</v>
      </c>
      <c r="K49" s="10">
        <v>0.15</v>
      </c>
    </row>
    <row r="50">
      <c r="A50" s="10" t="s">
        <v>87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272.0</v>
      </c>
      <c r="E5" s="38">
        <v>0.5574</v>
      </c>
      <c r="F5" s="10">
        <v>73.0</v>
      </c>
      <c r="G5" s="38">
        <v>0.7374</v>
      </c>
      <c r="H5" s="10">
        <v>31.0</v>
      </c>
      <c r="I5" s="38">
        <v>0.775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216.0</v>
      </c>
      <c r="E6" s="38">
        <v>0.4426</v>
      </c>
      <c r="F6" s="10">
        <v>26.0</v>
      </c>
      <c r="G6" s="38">
        <v>0.2626</v>
      </c>
      <c r="H6" s="10">
        <v>2.0</v>
      </c>
      <c r="I6" s="38">
        <v>0.05</v>
      </c>
      <c r="J6" s="10" t="s">
        <v>40</v>
      </c>
    </row>
    <row r="7">
      <c r="A7" s="10" t="s">
        <v>47</v>
      </c>
      <c r="D7" s="10">
        <v>216.0</v>
      </c>
      <c r="E7" s="38">
        <v>0.4426</v>
      </c>
      <c r="F7" s="10">
        <v>39.0</v>
      </c>
      <c r="G7" s="38">
        <v>0.3939</v>
      </c>
      <c r="H7" s="10">
        <v>6.0</v>
      </c>
      <c r="I7" s="38">
        <v>0.15</v>
      </c>
      <c r="J7" s="10" t="s">
        <v>40</v>
      </c>
      <c r="L7" s="10">
        <v>0.0</v>
      </c>
    </row>
    <row r="8">
      <c r="A8" s="10" t="s">
        <v>48</v>
      </c>
      <c r="D8" s="10">
        <v>272.0</v>
      </c>
      <c r="E8" s="38">
        <v>0.5574</v>
      </c>
      <c r="F8" s="10">
        <v>62.0</v>
      </c>
      <c r="G8" s="38">
        <v>0.6263</v>
      </c>
      <c r="H8" s="10">
        <v>27.0</v>
      </c>
      <c r="I8" s="38">
        <v>0.675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187.0</v>
      </c>
      <c r="E9" s="38">
        <v>0.3832</v>
      </c>
      <c r="F9" s="10">
        <v>32.0</v>
      </c>
      <c r="G9" s="38">
        <v>0.3232</v>
      </c>
      <c r="H9" s="10">
        <v>6.0</v>
      </c>
      <c r="I9" s="38">
        <v>0.15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41.0</v>
      </c>
      <c r="E11" s="38">
        <v>0.084</v>
      </c>
      <c r="F11" s="10">
        <v>6.0</v>
      </c>
      <c r="G11" s="38">
        <v>0.0606</v>
      </c>
      <c r="H11" s="10">
        <v>9.0</v>
      </c>
      <c r="I11" s="38">
        <v>0.225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232.0</v>
      </c>
      <c r="E12" s="38">
        <v>0.4754</v>
      </c>
      <c r="F12" s="10">
        <v>56.0</v>
      </c>
      <c r="G12" s="38">
        <v>0.5657</v>
      </c>
      <c r="H12" s="10">
        <v>28.0</v>
      </c>
      <c r="I12" s="38">
        <v>0.7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63.0</v>
      </c>
      <c r="E13" s="38">
        <v>0.1291</v>
      </c>
      <c r="F13" s="10">
        <v>21.0</v>
      </c>
      <c r="G13" s="38">
        <v>0.2121</v>
      </c>
      <c r="H13" s="10">
        <v>5.0</v>
      </c>
      <c r="I13" s="38">
        <v>0.125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71.0</v>
      </c>
      <c r="E14" s="38">
        <v>0.1455</v>
      </c>
      <c r="F14" s="10">
        <v>14.0</v>
      </c>
      <c r="G14" s="38">
        <v>0.1414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24.0</v>
      </c>
      <c r="E18" s="38">
        <v>0.0492</v>
      </c>
      <c r="F18" s="10">
        <v>6.0</v>
      </c>
      <c r="G18" s="38">
        <v>0.0606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62.0</v>
      </c>
      <c r="E19" s="38">
        <v>0.127</v>
      </c>
      <c r="F19" s="10">
        <v>12.0</v>
      </c>
      <c r="G19" s="38">
        <v>0.1212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6.0</v>
      </c>
      <c r="E20" s="38">
        <v>0.0123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9.0</v>
      </c>
      <c r="E21" s="38">
        <v>0.0184</v>
      </c>
      <c r="F21" s="10">
        <v>6.0</v>
      </c>
      <c r="G21" s="38">
        <v>0.0606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254.0</v>
      </c>
      <c r="E22" s="38">
        <v>0.5205</v>
      </c>
      <c r="F22" s="10">
        <v>48.0</v>
      </c>
      <c r="G22" s="38">
        <v>0.4848</v>
      </c>
      <c r="H22" s="10">
        <v>13.0</v>
      </c>
      <c r="I22" s="38">
        <v>0.325</v>
      </c>
      <c r="J22" s="10" t="s">
        <v>40</v>
      </c>
    </row>
    <row r="23">
      <c r="A23" s="10" t="s">
        <v>64</v>
      </c>
      <c r="D23" s="10">
        <v>187.0</v>
      </c>
      <c r="E23" s="38">
        <v>0.3832</v>
      </c>
      <c r="F23" s="10">
        <v>38.0</v>
      </c>
      <c r="G23" s="38">
        <v>0.3838</v>
      </c>
      <c r="H23" s="10">
        <v>17.0</v>
      </c>
      <c r="I23" s="38">
        <v>0.425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90.0</v>
      </c>
      <c r="E24" s="38">
        <v>0.1844</v>
      </c>
      <c r="F24" s="10">
        <v>17.0</v>
      </c>
      <c r="G24" s="38">
        <v>0.1717</v>
      </c>
      <c r="H24" s="10">
        <v>14.0</v>
      </c>
      <c r="I24" s="38">
        <v>0.35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100.0</v>
      </c>
      <c r="E25" s="38">
        <v>0.2049</v>
      </c>
      <c r="F25" s="10">
        <v>25.0</v>
      </c>
      <c r="G25" s="38">
        <v>0.2525</v>
      </c>
      <c r="H25" s="10">
        <v>12.0</v>
      </c>
      <c r="I25" s="38">
        <v>0.3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153.0</v>
      </c>
      <c r="E26" s="38">
        <v>0.3135</v>
      </c>
      <c r="F26" s="10">
        <v>25.0</v>
      </c>
      <c r="G26" s="38">
        <v>0.2525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109.0</v>
      </c>
      <c r="E27" s="38">
        <v>0.2234</v>
      </c>
      <c r="F27" s="10">
        <v>27.0</v>
      </c>
      <c r="G27" s="38">
        <v>0.2727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94.0</v>
      </c>
      <c r="E28" s="38">
        <v>0.1926</v>
      </c>
      <c r="F28" s="10">
        <v>15.0</v>
      </c>
      <c r="G28" s="38">
        <v>0.1515</v>
      </c>
      <c r="H28" s="10">
        <v>0.0</v>
      </c>
      <c r="I28" s="38">
        <v>0.0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16.0</v>
      </c>
      <c r="E29" s="38">
        <v>0.0328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124.0</v>
      </c>
      <c r="E32" s="38">
        <v>0.2541</v>
      </c>
      <c r="F32" s="10">
        <v>27.0</v>
      </c>
      <c r="G32" s="38">
        <v>0.2727</v>
      </c>
      <c r="H32" s="10">
        <v>8.0</v>
      </c>
      <c r="I32" s="38">
        <v>0.2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18.0</v>
      </c>
      <c r="E33" s="38">
        <v>0.0369</v>
      </c>
      <c r="F33" s="10">
        <v>2.0</v>
      </c>
      <c r="G33" s="38">
        <v>0.0202</v>
      </c>
      <c r="H33" s="10">
        <v>3.0</v>
      </c>
      <c r="I33" s="38">
        <v>0.075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31.0</v>
      </c>
      <c r="E36" s="38">
        <v>0.0635</v>
      </c>
      <c r="F36" s="10">
        <v>7.0</v>
      </c>
      <c r="G36" s="38">
        <v>0.0707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246.0</v>
      </c>
      <c r="E37" s="38">
        <v>0.5041</v>
      </c>
      <c r="F37" s="10">
        <v>41.0</v>
      </c>
      <c r="G37" s="38">
        <v>0.4141</v>
      </c>
      <c r="H37" s="10">
        <v>16.0</v>
      </c>
      <c r="I37" s="38">
        <v>0.4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140.0</v>
      </c>
      <c r="E38" s="38">
        <v>0.2869</v>
      </c>
      <c r="F38" s="10">
        <v>28.0</v>
      </c>
      <c r="G38" s="38">
        <v>0.2828</v>
      </c>
      <c r="H38" s="10">
        <v>9.0</v>
      </c>
      <c r="I38" s="38">
        <v>0.225</v>
      </c>
      <c r="J38" s="10" t="s">
        <v>40</v>
      </c>
      <c r="K38" s="10" t="s">
        <v>43</v>
      </c>
    </row>
    <row r="39">
      <c r="A39" s="10" t="s">
        <v>78</v>
      </c>
      <c r="D39" s="10">
        <v>8.0</v>
      </c>
      <c r="E39" s="38">
        <v>0.0164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233.0</v>
      </c>
      <c r="E40" s="38">
        <v>0.4775</v>
      </c>
      <c r="F40" s="10">
        <v>58.0</v>
      </c>
      <c r="G40" s="38">
        <v>0.5859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63.0</v>
      </c>
      <c r="E41" s="38">
        <v>0.1291</v>
      </c>
      <c r="F41" s="10">
        <v>11.0</v>
      </c>
      <c r="G41" s="38">
        <v>0.1111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31.0</v>
      </c>
      <c r="E42" s="38">
        <v>0.0635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49.0</v>
      </c>
      <c r="E43" s="38">
        <v>0.1004</v>
      </c>
      <c r="F43" s="10">
        <v>12.0</v>
      </c>
      <c r="G43" s="38">
        <v>0.1212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10.0</v>
      </c>
      <c r="E44" s="38">
        <v>0.0205</v>
      </c>
      <c r="F44" s="10">
        <v>2.0</v>
      </c>
      <c r="G44" s="38">
        <v>0.0202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19.0</v>
      </c>
      <c r="E45" s="38">
        <v>0.0389</v>
      </c>
      <c r="F45" s="10">
        <v>3.0</v>
      </c>
      <c r="G45" s="38">
        <v>0.0303</v>
      </c>
      <c r="H45" s="10">
        <v>2.0</v>
      </c>
      <c r="I45" s="38">
        <v>0.05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-0.005285761665</v>
      </c>
      <c r="I46" s="38">
        <v>-0.0053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263.0</v>
      </c>
      <c r="E5" s="38">
        <v>0.5389</v>
      </c>
      <c r="F5" s="10">
        <v>73.0</v>
      </c>
      <c r="G5" s="38">
        <v>0.7374</v>
      </c>
      <c r="H5" s="10">
        <v>31.0</v>
      </c>
      <c r="I5" s="38">
        <v>0.775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225.0</v>
      </c>
      <c r="E6" s="38">
        <v>0.4611</v>
      </c>
      <c r="F6" s="10">
        <v>26.0</v>
      </c>
      <c r="G6" s="38">
        <v>0.2626</v>
      </c>
      <c r="H6" s="10">
        <v>2.0</v>
      </c>
      <c r="I6" s="38">
        <v>0.05</v>
      </c>
      <c r="J6" s="10" t="s">
        <v>40</v>
      </c>
    </row>
    <row r="7">
      <c r="A7" s="10" t="s">
        <v>47</v>
      </c>
      <c r="D7" s="10">
        <v>229.0</v>
      </c>
      <c r="E7" s="38">
        <v>0.4693</v>
      </c>
      <c r="F7" s="10">
        <v>40.0</v>
      </c>
      <c r="G7" s="38">
        <v>0.404</v>
      </c>
      <c r="H7" s="10">
        <v>8.0</v>
      </c>
      <c r="I7" s="38">
        <v>0.2</v>
      </c>
      <c r="J7" s="10" t="s">
        <v>40</v>
      </c>
      <c r="L7" s="10">
        <v>0.0</v>
      </c>
    </row>
    <row r="8">
      <c r="A8" s="10" t="s">
        <v>48</v>
      </c>
      <c r="D8" s="10">
        <v>259.0</v>
      </c>
      <c r="E8" s="38">
        <v>0.5307</v>
      </c>
      <c r="F8" s="10">
        <v>61.0</v>
      </c>
      <c r="G8" s="38">
        <v>0.6162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178.0</v>
      </c>
      <c r="E9" s="38">
        <v>0.3648</v>
      </c>
      <c r="F9" s="10">
        <v>33.0</v>
      </c>
      <c r="G9" s="38">
        <v>0.3333</v>
      </c>
      <c r="H9" s="10">
        <v>5.0</v>
      </c>
      <c r="I9" s="38">
        <v>0.125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48.0</v>
      </c>
      <c r="E11" s="38">
        <v>0.0984</v>
      </c>
      <c r="F11" s="10">
        <v>6.0</v>
      </c>
      <c r="G11" s="38">
        <v>0.0606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278.0</v>
      </c>
      <c r="E12" s="38">
        <v>0.5697</v>
      </c>
      <c r="F12" s="10">
        <v>67.0</v>
      </c>
      <c r="G12" s="38">
        <v>0.6768</v>
      </c>
      <c r="H12" s="10">
        <v>31.0</v>
      </c>
      <c r="I12" s="38">
        <v>0.775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76.0</v>
      </c>
      <c r="E13" s="38">
        <v>0.1557</v>
      </c>
      <c r="F13" s="10">
        <v>20.0</v>
      </c>
      <c r="G13" s="38">
        <v>0.202</v>
      </c>
      <c r="H13" s="10">
        <v>5.0</v>
      </c>
      <c r="I13" s="38">
        <v>0.125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68.0</v>
      </c>
      <c r="E14" s="38">
        <v>0.1393</v>
      </c>
      <c r="F14" s="10">
        <v>16.0</v>
      </c>
      <c r="G14" s="38">
        <v>0.1616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9.0</v>
      </c>
      <c r="E18" s="38">
        <v>0.0184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3.0</v>
      </c>
      <c r="E19" s="38">
        <v>0.0061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1.0</v>
      </c>
      <c r="E20" s="38">
        <v>0.002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272.0</v>
      </c>
      <c r="E22" s="38">
        <v>0.5574</v>
      </c>
      <c r="F22" s="10">
        <v>55.0</v>
      </c>
      <c r="G22" s="38">
        <v>0.5556</v>
      </c>
      <c r="H22" s="10">
        <v>14.0</v>
      </c>
      <c r="I22" s="38">
        <v>0.35</v>
      </c>
      <c r="J22" s="10" t="s">
        <v>40</v>
      </c>
    </row>
    <row r="23">
      <c r="A23" s="10" t="s">
        <v>64</v>
      </c>
      <c r="D23" s="10">
        <v>188.0</v>
      </c>
      <c r="E23" s="38">
        <v>0.3852</v>
      </c>
      <c r="F23" s="10">
        <v>41.0</v>
      </c>
      <c r="G23" s="38">
        <v>0.4141</v>
      </c>
      <c r="H23" s="10">
        <v>12.0</v>
      </c>
      <c r="I23" s="38">
        <v>0.3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89.0</v>
      </c>
      <c r="E24" s="38">
        <v>0.1824</v>
      </c>
      <c r="F24" s="10">
        <v>17.0</v>
      </c>
      <c r="G24" s="38">
        <v>0.1717</v>
      </c>
      <c r="H24" s="10">
        <v>6.0</v>
      </c>
      <c r="I24" s="38">
        <v>0.15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138.0</v>
      </c>
      <c r="E25" s="38">
        <v>0.2828</v>
      </c>
      <c r="F25" s="10">
        <v>29.0</v>
      </c>
      <c r="G25" s="38">
        <v>0.2929</v>
      </c>
      <c r="H25" s="10">
        <v>22.0</v>
      </c>
      <c r="I25" s="38">
        <v>0.55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175.0</v>
      </c>
      <c r="E26" s="38">
        <v>0.3586</v>
      </c>
      <c r="F26" s="10">
        <v>36.0</v>
      </c>
      <c r="G26" s="38">
        <v>0.3636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89.0</v>
      </c>
      <c r="E27" s="38">
        <v>0.1824</v>
      </c>
      <c r="F27" s="10">
        <v>25.0</v>
      </c>
      <c r="G27" s="38">
        <v>0.2525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89.0</v>
      </c>
      <c r="E28" s="38">
        <v>0.1824</v>
      </c>
      <c r="F28" s="10">
        <v>20.0</v>
      </c>
      <c r="G28" s="38">
        <v>0.202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12.0</v>
      </c>
      <c r="E29" s="38">
        <v>0.0246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128.0</v>
      </c>
      <c r="E32" s="38">
        <v>0.2623</v>
      </c>
      <c r="F32" s="10">
        <v>37.0</v>
      </c>
      <c r="G32" s="38">
        <v>0.3737</v>
      </c>
      <c r="H32" s="10">
        <v>17.0</v>
      </c>
      <c r="I32" s="38">
        <v>0.425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13.0</v>
      </c>
      <c r="E33" s="38">
        <v>0.0266</v>
      </c>
      <c r="F33" s="10">
        <v>2.0</v>
      </c>
      <c r="G33" s="38">
        <v>0.0202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25.0</v>
      </c>
      <c r="E36" s="38">
        <v>0.0512</v>
      </c>
      <c r="F36" s="10">
        <v>6.0</v>
      </c>
      <c r="G36" s="38">
        <v>0.0606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248.0</v>
      </c>
      <c r="E37" s="38">
        <v>0.5082</v>
      </c>
      <c r="F37" s="10">
        <v>40.0</v>
      </c>
      <c r="G37" s="38">
        <v>0.404</v>
      </c>
      <c r="H37" s="10">
        <v>15.0</v>
      </c>
      <c r="I37" s="38">
        <v>0.375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140.0</v>
      </c>
      <c r="E38" s="38">
        <v>0.2869</v>
      </c>
      <c r="F38" s="10">
        <v>32.0</v>
      </c>
      <c r="G38" s="38">
        <v>0.3232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6.0</v>
      </c>
      <c r="E39" s="38">
        <v>0.0123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235.0</v>
      </c>
      <c r="E40" s="38">
        <v>0.4816</v>
      </c>
      <c r="F40" s="10">
        <v>60.0</v>
      </c>
      <c r="G40" s="38">
        <v>0.6061</v>
      </c>
      <c r="H40" s="10">
        <v>25.0</v>
      </c>
      <c r="I40" s="38">
        <v>0.625</v>
      </c>
      <c r="J40" s="10" t="s">
        <v>40</v>
      </c>
    </row>
    <row r="41">
      <c r="A41" s="10" t="s">
        <v>6</v>
      </c>
      <c r="D41" s="10">
        <v>67.0</v>
      </c>
      <c r="E41" s="38">
        <v>0.1373</v>
      </c>
      <c r="F41" s="10">
        <v>16.0</v>
      </c>
      <c r="G41" s="38">
        <v>0.1616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23.0</v>
      </c>
      <c r="E42" s="38">
        <v>0.0471</v>
      </c>
      <c r="F42" s="10">
        <v>7.0</v>
      </c>
      <c r="G42" s="38">
        <v>0.0707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38.0</v>
      </c>
      <c r="E43" s="38">
        <v>0.0779</v>
      </c>
      <c r="F43" s="10">
        <v>8.0</v>
      </c>
      <c r="G43" s="38">
        <v>0.0808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9.0</v>
      </c>
      <c r="E44" s="38">
        <v>0.0184</v>
      </c>
      <c r="F44" s="10">
        <v>2.0</v>
      </c>
      <c r="G44" s="38">
        <v>0.0202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9.0</v>
      </c>
      <c r="E45" s="38">
        <v>0.0184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-0.01501654389</v>
      </c>
      <c r="I46" s="38">
        <v>-0.015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243.0</v>
      </c>
      <c r="E5" s="38">
        <v>0.498</v>
      </c>
      <c r="F5" s="10">
        <v>69.0</v>
      </c>
      <c r="G5" s="38">
        <v>0.697</v>
      </c>
      <c r="H5" s="10">
        <v>31.0</v>
      </c>
      <c r="I5" s="38">
        <v>0.775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245.0</v>
      </c>
      <c r="E6" s="38">
        <v>0.502</v>
      </c>
      <c r="F6" s="10">
        <v>30.0</v>
      </c>
      <c r="G6" s="38">
        <v>0.303</v>
      </c>
      <c r="H6" s="10">
        <v>2.0</v>
      </c>
      <c r="I6" s="38">
        <v>0.05</v>
      </c>
      <c r="J6" s="10" t="s">
        <v>40</v>
      </c>
    </row>
    <row r="7">
      <c r="A7" s="10" t="s">
        <v>47</v>
      </c>
      <c r="D7" s="10">
        <v>235.0</v>
      </c>
      <c r="E7" s="38">
        <v>0.4816</v>
      </c>
      <c r="F7" s="10">
        <v>42.0</v>
      </c>
      <c r="G7" s="38">
        <v>0.4242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253.0</v>
      </c>
      <c r="E8" s="38">
        <v>0.5184</v>
      </c>
      <c r="F8" s="10">
        <v>59.0</v>
      </c>
      <c r="G8" s="38">
        <v>0.596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175.0</v>
      </c>
      <c r="E9" s="38">
        <v>0.3586</v>
      </c>
      <c r="F9" s="10">
        <v>32.0</v>
      </c>
      <c r="G9" s="38">
        <v>0.3232</v>
      </c>
      <c r="H9" s="10">
        <v>3.0</v>
      </c>
      <c r="I9" s="38">
        <v>0.075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56.0</v>
      </c>
      <c r="E11" s="38">
        <v>0.1148</v>
      </c>
      <c r="F11" s="10">
        <v>9.0</v>
      </c>
      <c r="G11" s="38">
        <v>0.0909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303.0</v>
      </c>
      <c r="E12" s="38">
        <v>0.6209</v>
      </c>
      <c r="F12" s="10">
        <v>78.0</v>
      </c>
      <c r="G12" s="38">
        <v>0.7879</v>
      </c>
      <c r="H12" s="10">
        <v>32.0</v>
      </c>
      <c r="I12" s="38">
        <v>0.8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84.0</v>
      </c>
      <c r="E13" s="38">
        <v>0.1721</v>
      </c>
      <c r="F13" s="10">
        <v>21.0</v>
      </c>
      <c r="G13" s="38">
        <v>0.2121</v>
      </c>
      <c r="H13" s="10">
        <v>4.0</v>
      </c>
      <c r="I13" s="38">
        <v>0.1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47.0</v>
      </c>
      <c r="E14" s="38">
        <v>0.0963</v>
      </c>
      <c r="F14" s="10">
        <v>10.0</v>
      </c>
      <c r="G14" s="38">
        <v>0.101</v>
      </c>
      <c r="H14" s="10">
        <v>0.0</v>
      </c>
      <c r="I14" s="38">
        <v>0.0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87.0</v>
      </c>
      <c r="E18" s="38">
        <v>0.1783</v>
      </c>
      <c r="F18" s="10">
        <v>27.0</v>
      </c>
      <c r="G18" s="38">
        <v>0.2727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29.0</v>
      </c>
      <c r="E19" s="38">
        <v>0.0594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20.0</v>
      </c>
      <c r="E20" s="38">
        <v>0.041</v>
      </c>
      <c r="F20" s="10">
        <v>7.0</v>
      </c>
      <c r="G20" s="38">
        <v>0.0707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6.0</v>
      </c>
      <c r="E21" s="38">
        <v>0.0123</v>
      </c>
      <c r="F21" s="10">
        <v>27.0</v>
      </c>
      <c r="G21" s="38">
        <v>0.2727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264.0</v>
      </c>
      <c r="E22" s="38">
        <v>0.541</v>
      </c>
      <c r="F22" s="10">
        <v>57.0</v>
      </c>
      <c r="G22" s="38">
        <v>0.5758</v>
      </c>
      <c r="H22" s="10">
        <v>10.0</v>
      </c>
      <c r="I22" s="38">
        <v>0.25</v>
      </c>
      <c r="J22" s="10" t="s">
        <v>40</v>
      </c>
    </row>
    <row r="23">
      <c r="A23" s="10" t="s">
        <v>64</v>
      </c>
      <c r="D23" s="10">
        <v>184.0</v>
      </c>
      <c r="E23" s="38">
        <v>0.377</v>
      </c>
      <c r="F23" s="10">
        <v>36.0</v>
      </c>
      <c r="G23" s="38">
        <v>0.3636</v>
      </c>
      <c r="H23" s="10">
        <v>14.0</v>
      </c>
      <c r="I23" s="38">
        <v>0.35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74.0</v>
      </c>
      <c r="E24" s="38">
        <v>0.1516</v>
      </c>
      <c r="F24" s="10">
        <v>9.0</v>
      </c>
      <c r="G24" s="38">
        <v>0.0909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156.0</v>
      </c>
      <c r="E25" s="38">
        <v>0.3197</v>
      </c>
      <c r="F25" s="10">
        <v>37.0</v>
      </c>
      <c r="G25" s="38">
        <v>0.3737</v>
      </c>
      <c r="H25" s="10">
        <v>27.0</v>
      </c>
      <c r="I25" s="38">
        <v>0.675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171.0</v>
      </c>
      <c r="E26" s="38">
        <v>0.3504</v>
      </c>
      <c r="F26" s="10">
        <v>36.0</v>
      </c>
      <c r="G26" s="38">
        <v>0.3636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101.0</v>
      </c>
      <c r="E27" s="38">
        <v>0.207</v>
      </c>
      <c r="F27" s="10">
        <v>23.0</v>
      </c>
      <c r="G27" s="38">
        <v>0.2323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88.0</v>
      </c>
      <c r="E28" s="38">
        <v>0.1803</v>
      </c>
      <c r="F28" s="10">
        <v>17.0</v>
      </c>
      <c r="G28" s="38">
        <v>0.1717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8.0</v>
      </c>
      <c r="E29" s="38">
        <v>0.0164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119.0</v>
      </c>
      <c r="E32" s="38">
        <v>0.2439</v>
      </c>
      <c r="F32" s="10">
        <v>31.0</v>
      </c>
      <c r="G32" s="38">
        <v>0.3131</v>
      </c>
      <c r="H32" s="10">
        <v>15.0</v>
      </c>
      <c r="I32" s="38">
        <v>0.375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9.0</v>
      </c>
      <c r="E33" s="38">
        <v>0.0184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23.0</v>
      </c>
      <c r="E36" s="38">
        <v>0.0471</v>
      </c>
      <c r="F36" s="10">
        <v>4.0</v>
      </c>
      <c r="G36" s="38">
        <v>0.0404</v>
      </c>
      <c r="H36" s="10">
        <v>2.0</v>
      </c>
      <c r="I36" s="38">
        <v>0.05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230.0</v>
      </c>
      <c r="E37" s="38">
        <v>0.4713</v>
      </c>
      <c r="F37" s="10">
        <v>36.0</v>
      </c>
      <c r="G37" s="38">
        <v>0.3636</v>
      </c>
      <c r="H37" s="10">
        <v>11.0</v>
      </c>
      <c r="I37" s="38">
        <v>0.275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135.0</v>
      </c>
      <c r="E38" s="38">
        <v>0.2766</v>
      </c>
      <c r="F38" s="10">
        <v>26.0</v>
      </c>
      <c r="G38" s="38">
        <v>0.2626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6.0</v>
      </c>
      <c r="E39" s="38">
        <v>0.0123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251.0</v>
      </c>
      <c r="E40" s="38">
        <v>0.5143</v>
      </c>
      <c r="F40" s="10">
        <v>63.0</v>
      </c>
      <c r="G40" s="38">
        <v>0.6364</v>
      </c>
      <c r="H40" s="10">
        <v>30.0</v>
      </c>
      <c r="I40" s="38">
        <v>0.75</v>
      </c>
      <c r="J40" s="10" t="s">
        <v>40</v>
      </c>
    </row>
    <row r="41">
      <c r="A41" s="10" t="s">
        <v>6</v>
      </c>
      <c r="D41" s="10">
        <v>65.0</v>
      </c>
      <c r="E41" s="38">
        <v>0.1332</v>
      </c>
      <c r="F41" s="10">
        <v>16.0</v>
      </c>
      <c r="G41" s="38">
        <v>0.1616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16.0</v>
      </c>
      <c r="E42" s="38">
        <v>0.0328</v>
      </c>
      <c r="F42" s="10">
        <v>7.0</v>
      </c>
      <c r="G42" s="38">
        <v>0.0707</v>
      </c>
      <c r="H42" s="10">
        <v>5.0</v>
      </c>
      <c r="I42" s="38">
        <v>0.125</v>
      </c>
      <c r="J42" s="10" t="s">
        <v>40</v>
      </c>
    </row>
    <row r="43">
      <c r="A43" s="10" t="s">
        <v>80</v>
      </c>
      <c r="D43" s="10">
        <v>27.0</v>
      </c>
      <c r="E43" s="38">
        <v>0.0553</v>
      </c>
      <c r="F43" s="10">
        <v>3.0</v>
      </c>
      <c r="G43" s="38">
        <v>0.0303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7.0</v>
      </c>
      <c r="E45" s="38">
        <v>0.0143</v>
      </c>
      <c r="F45" s="10">
        <v>3.0</v>
      </c>
      <c r="G45" s="38">
        <v>0.0303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-0.02193289395</v>
      </c>
      <c r="I46" s="38">
        <v>-0.0219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225.0</v>
      </c>
      <c r="E5" s="38">
        <v>0.4611</v>
      </c>
      <c r="F5" s="10">
        <v>62.0</v>
      </c>
      <c r="G5" s="38">
        <v>0.6263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263.0</v>
      </c>
      <c r="E6" s="38">
        <v>0.5389</v>
      </c>
      <c r="F6" s="10">
        <v>37.0</v>
      </c>
      <c r="G6" s="38">
        <v>0.3737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208.0</v>
      </c>
      <c r="E7" s="38">
        <v>0.4262</v>
      </c>
      <c r="F7" s="10">
        <v>31.0</v>
      </c>
      <c r="G7" s="38">
        <v>0.3131</v>
      </c>
      <c r="H7" s="10">
        <v>3.0</v>
      </c>
      <c r="I7" s="38">
        <v>0.075</v>
      </c>
      <c r="J7" s="10" t="s">
        <v>40</v>
      </c>
      <c r="L7" s="10">
        <v>0.0</v>
      </c>
    </row>
    <row r="8">
      <c r="A8" s="10" t="s">
        <v>48</v>
      </c>
      <c r="D8" s="10">
        <v>280.0</v>
      </c>
      <c r="E8" s="38">
        <v>0.5738</v>
      </c>
      <c r="F8" s="10">
        <v>70.0</v>
      </c>
      <c r="G8" s="38">
        <v>0.7071</v>
      </c>
      <c r="H8" s="10">
        <v>30.0</v>
      </c>
      <c r="I8" s="38">
        <v>0.75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176.0</v>
      </c>
      <c r="E9" s="38">
        <v>0.3607</v>
      </c>
      <c r="F9" s="10">
        <v>27.0</v>
      </c>
      <c r="G9" s="38">
        <v>0.2727</v>
      </c>
      <c r="H9" s="10">
        <v>4.0</v>
      </c>
      <c r="I9" s="38">
        <v>0.1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46.0</v>
      </c>
      <c r="E11" s="38">
        <v>0.0943</v>
      </c>
      <c r="F11" s="10">
        <v>7.0</v>
      </c>
      <c r="G11" s="38">
        <v>0.0707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262.0</v>
      </c>
      <c r="E12" s="38">
        <v>0.5369</v>
      </c>
      <c r="F12" s="10">
        <v>66.0</v>
      </c>
      <c r="G12" s="38">
        <v>0.6667</v>
      </c>
      <c r="H12" s="10">
        <v>32.0</v>
      </c>
      <c r="I12" s="38">
        <v>0.8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76.0</v>
      </c>
      <c r="E13" s="38">
        <v>0.1557</v>
      </c>
      <c r="F13" s="10">
        <v>21.0</v>
      </c>
      <c r="G13" s="38">
        <v>0.2121</v>
      </c>
      <c r="H13" s="10">
        <v>5.0</v>
      </c>
      <c r="I13" s="38">
        <v>0.125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60.0</v>
      </c>
      <c r="E14" s="38">
        <v>0.123</v>
      </c>
      <c r="F14" s="10">
        <v>15.0</v>
      </c>
      <c r="G14" s="38">
        <v>0.1515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45.0</v>
      </c>
      <c r="E18" s="38">
        <v>0.0922</v>
      </c>
      <c r="F18" s="10">
        <v>18.0</v>
      </c>
      <c r="G18" s="38">
        <v>0.1818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21.0</v>
      </c>
      <c r="E19" s="38">
        <v>0.043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11.0</v>
      </c>
      <c r="E20" s="38">
        <v>0.0225</v>
      </c>
      <c r="F20" s="10">
        <v>3.0</v>
      </c>
      <c r="G20" s="38">
        <v>0.0303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8.0</v>
      </c>
      <c r="E21" s="38">
        <v>0.0164</v>
      </c>
      <c r="F21" s="10">
        <v>18.0</v>
      </c>
      <c r="G21" s="38">
        <v>0.1818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297.0</v>
      </c>
      <c r="E22" s="38">
        <v>0.6086</v>
      </c>
      <c r="F22" s="10">
        <v>64.0</v>
      </c>
      <c r="G22" s="38">
        <v>0.6465</v>
      </c>
      <c r="H22" s="10">
        <v>14.0</v>
      </c>
      <c r="I22" s="38">
        <v>0.35</v>
      </c>
      <c r="J22" s="10" t="s">
        <v>40</v>
      </c>
    </row>
    <row r="23">
      <c r="A23" s="10" t="s">
        <v>64</v>
      </c>
      <c r="D23" s="10">
        <v>166.0</v>
      </c>
      <c r="E23" s="38">
        <v>0.3402</v>
      </c>
      <c r="F23" s="10">
        <v>31.0</v>
      </c>
      <c r="G23" s="38">
        <v>0.3131</v>
      </c>
      <c r="H23" s="10">
        <v>13.0</v>
      </c>
      <c r="I23" s="38">
        <v>0.325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105.0</v>
      </c>
      <c r="E24" s="38">
        <v>0.2152</v>
      </c>
      <c r="F24" s="10">
        <v>18.0</v>
      </c>
      <c r="G24" s="38">
        <v>0.1818</v>
      </c>
      <c r="H24" s="10">
        <v>4.0</v>
      </c>
      <c r="I24" s="38">
        <v>0.1</v>
      </c>
      <c r="J24" s="10" t="s">
        <v>40</v>
      </c>
      <c r="K24" s="10" t="s">
        <v>79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114.0</v>
      </c>
      <c r="E25" s="38">
        <v>0.2336</v>
      </c>
      <c r="F25" s="10">
        <v>33.0</v>
      </c>
      <c r="G25" s="38">
        <v>0.3333</v>
      </c>
      <c r="H25" s="10">
        <v>25.0</v>
      </c>
      <c r="I25" s="38">
        <v>0.625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169.0</v>
      </c>
      <c r="E26" s="38">
        <v>0.3463</v>
      </c>
      <c r="F26" s="10">
        <v>33.0</v>
      </c>
      <c r="G26" s="38">
        <v>0.3333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168.0</v>
      </c>
      <c r="E27" s="38">
        <v>0.3443</v>
      </c>
      <c r="F27" s="10">
        <v>41.0</v>
      </c>
      <c r="G27" s="38">
        <v>0.4141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90.0</v>
      </c>
      <c r="E28" s="38">
        <v>0.1844</v>
      </c>
      <c r="F28" s="10">
        <v>14.0</v>
      </c>
      <c r="G28" s="38">
        <v>0.1414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14.0</v>
      </c>
      <c r="E29" s="38">
        <v>0.0287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120.0</v>
      </c>
      <c r="E32" s="38">
        <v>0.2459</v>
      </c>
      <c r="F32" s="10">
        <v>28.0</v>
      </c>
      <c r="G32" s="38">
        <v>0.2828</v>
      </c>
      <c r="H32" s="10">
        <v>16.0</v>
      </c>
      <c r="I32" s="38">
        <v>0.4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15.0</v>
      </c>
      <c r="E33" s="38">
        <v>0.0307</v>
      </c>
      <c r="F33" s="10">
        <v>2.0</v>
      </c>
      <c r="G33" s="38">
        <v>0.0202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24.0</v>
      </c>
      <c r="E36" s="38">
        <v>0.0492</v>
      </c>
      <c r="F36" s="10">
        <v>5.0</v>
      </c>
      <c r="G36" s="38">
        <v>0.0505</v>
      </c>
      <c r="H36" s="10">
        <v>2.0</v>
      </c>
      <c r="I36" s="38">
        <v>0.05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241.0</v>
      </c>
      <c r="E37" s="38">
        <v>0.4939</v>
      </c>
      <c r="F37" s="10">
        <v>40.0</v>
      </c>
      <c r="G37" s="38">
        <v>0.404</v>
      </c>
      <c r="H37" s="10">
        <v>14.0</v>
      </c>
      <c r="I37" s="38">
        <v>0.35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138.0</v>
      </c>
      <c r="E38" s="38">
        <v>0.2828</v>
      </c>
      <c r="F38" s="10">
        <v>26.0</v>
      </c>
      <c r="G38" s="38">
        <v>0.2626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4.0</v>
      </c>
      <c r="E39" s="38">
        <v>0.0082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243.0</v>
      </c>
      <c r="E40" s="38">
        <v>0.498</v>
      </c>
      <c r="F40" s="10">
        <v>61.0</v>
      </c>
      <c r="G40" s="38">
        <v>0.6162</v>
      </c>
      <c r="H40" s="10">
        <v>26.0</v>
      </c>
      <c r="I40" s="38">
        <v>0.65</v>
      </c>
      <c r="J40" s="10" t="s">
        <v>40</v>
      </c>
    </row>
    <row r="41">
      <c r="A41" s="10" t="s">
        <v>6</v>
      </c>
      <c r="D41" s="10">
        <v>57.0</v>
      </c>
      <c r="E41" s="38">
        <v>0.1168</v>
      </c>
      <c r="F41" s="10">
        <v>11.0</v>
      </c>
      <c r="G41" s="38">
        <v>0.1111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28.0</v>
      </c>
      <c r="E42" s="38">
        <v>0.0574</v>
      </c>
      <c r="F42" s="10">
        <v>5.0</v>
      </c>
      <c r="G42" s="38">
        <v>0.0505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41.0</v>
      </c>
      <c r="E43" s="38">
        <v>0.084</v>
      </c>
      <c r="F43" s="10">
        <v>7.0</v>
      </c>
      <c r="G43" s="38">
        <v>0.0707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1.0</v>
      </c>
      <c r="E44" s="38">
        <v>0.002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12.0</v>
      </c>
      <c r="E45" s="38">
        <v>0.0246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-0.01397382531</v>
      </c>
      <c r="I46" s="38">
        <v>-0.014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208.0</v>
      </c>
      <c r="E5" s="38">
        <v>0.4262</v>
      </c>
      <c r="F5" s="10">
        <v>61.0</v>
      </c>
      <c r="G5" s="38">
        <v>0.6162</v>
      </c>
      <c r="H5" s="10">
        <v>29.0</v>
      </c>
      <c r="I5" s="38">
        <v>0.725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280.0</v>
      </c>
      <c r="E6" s="38">
        <v>0.5738</v>
      </c>
      <c r="F6" s="10">
        <v>38.0</v>
      </c>
      <c r="G6" s="38">
        <v>0.3838</v>
      </c>
      <c r="H6" s="10">
        <v>4.0</v>
      </c>
      <c r="I6" s="38">
        <v>0.1</v>
      </c>
      <c r="J6" s="10" t="s">
        <v>40</v>
      </c>
    </row>
    <row r="7">
      <c r="A7" s="10" t="s">
        <v>47</v>
      </c>
      <c r="D7" s="10">
        <v>205.0</v>
      </c>
      <c r="E7" s="38">
        <v>0.4201</v>
      </c>
      <c r="F7" s="10">
        <v>32.0</v>
      </c>
      <c r="G7" s="38">
        <v>0.3232</v>
      </c>
      <c r="H7" s="10">
        <v>3.0</v>
      </c>
      <c r="I7" s="38">
        <v>0.075</v>
      </c>
      <c r="J7" s="10" t="s">
        <v>40</v>
      </c>
      <c r="L7" s="10">
        <v>0.0</v>
      </c>
    </row>
    <row r="8">
      <c r="A8" s="10" t="s">
        <v>48</v>
      </c>
      <c r="D8" s="10">
        <v>283.0</v>
      </c>
      <c r="E8" s="38">
        <v>0.5799</v>
      </c>
      <c r="F8" s="10">
        <v>69.0</v>
      </c>
      <c r="G8" s="38">
        <v>0.697</v>
      </c>
      <c r="H8" s="10">
        <v>30.0</v>
      </c>
      <c r="I8" s="38">
        <v>0.75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174.0</v>
      </c>
      <c r="E9" s="38">
        <v>0.3566</v>
      </c>
      <c r="F9" s="10">
        <v>30.0</v>
      </c>
      <c r="G9" s="38">
        <v>0.303</v>
      </c>
      <c r="H9" s="10">
        <v>4.0</v>
      </c>
      <c r="I9" s="38">
        <v>0.1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54.0</v>
      </c>
      <c r="E11" s="38">
        <v>0.1107</v>
      </c>
      <c r="F11" s="10">
        <v>7.0</v>
      </c>
      <c r="G11" s="38">
        <v>0.0707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270.0</v>
      </c>
      <c r="E12" s="38">
        <v>0.5533</v>
      </c>
      <c r="F12" s="10">
        <v>71.0</v>
      </c>
      <c r="G12" s="38">
        <v>0.7172</v>
      </c>
      <c r="H12" s="10">
        <v>32.0</v>
      </c>
      <c r="I12" s="38">
        <v>0.8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78.0</v>
      </c>
      <c r="E13" s="38">
        <v>0.1598</v>
      </c>
      <c r="F13" s="10">
        <v>19.0</v>
      </c>
      <c r="G13" s="38">
        <v>0.1919</v>
      </c>
      <c r="H13" s="10">
        <v>7.0</v>
      </c>
      <c r="I13" s="38">
        <v>0.175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49.0</v>
      </c>
      <c r="E14" s="38">
        <v>0.1004</v>
      </c>
      <c r="F14" s="10">
        <v>10.0</v>
      </c>
      <c r="G14" s="38">
        <v>0.101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12.0</v>
      </c>
      <c r="E18" s="38">
        <v>0.0246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3.0</v>
      </c>
      <c r="E19" s="38">
        <v>0.0061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3.0</v>
      </c>
      <c r="E20" s="38">
        <v>0.0061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271.0</v>
      </c>
      <c r="E22" s="38">
        <v>0.5553</v>
      </c>
      <c r="F22" s="10">
        <v>64.0</v>
      </c>
      <c r="G22" s="38">
        <v>0.6465</v>
      </c>
      <c r="H22" s="10">
        <v>15.0</v>
      </c>
      <c r="I22" s="38">
        <v>0.375</v>
      </c>
      <c r="J22" s="10" t="s">
        <v>40</v>
      </c>
    </row>
    <row r="23">
      <c r="A23" s="10" t="s">
        <v>64</v>
      </c>
      <c r="D23" s="10">
        <v>174.0</v>
      </c>
      <c r="E23" s="38">
        <v>0.3566</v>
      </c>
      <c r="F23" s="10">
        <v>32.0</v>
      </c>
      <c r="G23" s="38">
        <v>0.3232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74.0</v>
      </c>
      <c r="E24" s="38">
        <v>0.1516</v>
      </c>
      <c r="F24" s="10">
        <v>5.0</v>
      </c>
      <c r="G24" s="38">
        <v>0.0505</v>
      </c>
      <c r="H24" s="10">
        <v>2.0</v>
      </c>
      <c r="I24" s="38">
        <v>0.05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132.0</v>
      </c>
      <c r="E25" s="38">
        <v>0.2705</v>
      </c>
      <c r="F25" s="10">
        <v>40.0</v>
      </c>
      <c r="G25" s="38">
        <v>0.404</v>
      </c>
      <c r="H25" s="10">
        <v>29.0</v>
      </c>
      <c r="I25" s="38">
        <v>0.725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156.0</v>
      </c>
      <c r="E26" s="38">
        <v>0.3197</v>
      </c>
      <c r="F26" s="10">
        <v>28.0</v>
      </c>
      <c r="G26" s="38">
        <v>0.2828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136.0</v>
      </c>
      <c r="E27" s="38">
        <v>0.2787</v>
      </c>
      <c r="F27" s="10">
        <v>31.0</v>
      </c>
      <c r="G27" s="38">
        <v>0.3131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95.0</v>
      </c>
      <c r="E28" s="38">
        <v>0.1947</v>
      </c>
      <c r="F28" s="10">
        <v>17.0</v>
      </c>
      <c r="G28" s="38">
        <v>0.1717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16.0</v>
      </c>
      <c r="E29" s="38">
        <v>0.0328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116.0</v>
      </c>
      <c r="E32" s="38">
        <v>0.2377</v>
      </c>
      <c r="F32" s="10">
        <v>29.0</v>
      </c>
      <c r="G32" s="38">
        <v>0.2929</v>
      </c>
      <c r="H32" s="10">
        <v>18.0</v>
      </c>
      <c r="I32" s="38">
        <v>0.45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16.0</v>
      </c>
      <c r="E33" s="38">
        <v>0.0328</v>
      </c>
      <c r="F33" s="10">
        <v>2.0</v>
      </c>
      <c r="G33" s="38">
        <v>0.0202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28.0</v>
      </c>
      <c r="E36" s="38">
        <v>0.0574</v>
      </c>
      <c r="F36" s="10">
        <v>5.0</v>
      </c>
      <c r="G36" s="38">
        <v>0.0505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239.0</v>
      </c>
      <c r="E37" s="38">
        <v>0.4898</v>
      </c>
      <c r="F37" s="10">
        <v>40.0</v>
      </c>
      <c r="G37" s="38">
        <v>0.404</v>
      </c>
      <c r="H37" s="10">
        <v>17.0</v>
      </c>
      <c r="I37" s="38">
        <v>0.425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148.0</v>
      </c>
      <c r="E38" s="38">
        <v>0.3033</v>
      </c>
      <c r="F38" s="10">
        <v>29.0</v>
      </c>
      <c r="G38" s="38">
        <v>0.2929</v>
      </c>
      <c r="H38" s="10">
        <v>17.0</v>
      </c>
      <c r="I38" s="38">
        <v>0.425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238.0</v>
      </c>
      <c r="E40" s="38">
        <v>0.4877</v>
      </c>
      <c r="F40" s="10">
        <v>61.0</v>
      </c>
      <c r="G40" s="38">
        <v>0.6162</v>
      </c>
      <c r="H40" s="10">
        <v>24.0</v>
      </c>
      <c r="I40" s="38">
        <v>0.6</v>
      </c>
      <c r="J40" s="10" t="s">
        <v>40</v>
      </c>
    </row>
    <row r="41">
      <c r="A41" s="10" t="s">
        <v>6</v>
      </c>
      <c r="D41" s="10">
        <v>50.0</v>
      </c>
      <c r="E41" s="38">
        <v>0.1025</v>
      </c>
      <c r="F41" s="10">
        <v>10.0</v>
      </c>
      <c r="G41" s="38">
        <v>0.101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21.0</v>
      </c>
      <c r="E42" s="38">
        <v>0.043</v>
      </c>
      <c r="F42" s="10">
        <v>4.0</v>
      </c>
      <c r="G42" s="38">
        <v>0.0404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50.0</v>
      </c>
      <c r="E43" s="38">
        <v>0.1025</v>
      </c>
      <c r="F43" s="10">
        <v>9.0</v>
      </c>
      <c r="G43" s="38">
        <v>0.0909</v>
      </c>
      <c r="H43" s="10">
        <v>6.0</v>
      </c>
      <c r="I43" s="38">
        <v>0.15</v>
      </c>
      <c r="J43" s="10" t="s">
        <v>40</v>
      </c>
    </row>
    <row r="44">
      <c r="A44" s="10" t="s">
        <v>10</v>
      </c>
      <c r="D44" s="10">
        <v>13.0</v>
      </c>
      <c r="E44" s="38">
        <v>0.0266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14.0</v>
      </c>
      <c r="E45" s="38">
        <v>0.0287</v>
      </c>
      <c r="F45" s="10">
        <v>2.0</v>
      </c>
      <c r="G45" s="38">
        <v>0.0202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-0.007846556065</v>
      </c>
      <c r="I46" s="38">
        <v>-0.0078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488.0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227.0</v>
      </c>
      <c r="E3" s="38">
        <v>0.4652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0.5225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201.0</v>
      </c>
      <c r="E5" s="38">
        <v>0.4119</v>
      </c>
      <c r="F5" s="10">
        <v>60.0</v>
      </c>
      <c r="G5" s="38">
        <v>0.6061</v>
      </c>
      <c r="H5" s="10">
        <v>28.0</v>
      </c>
      <c r="I5" s="38">
        <v>0.7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287.0</v>
      </c>
      <c r="E6" s="38">
        <v>0.5881</v>
      </c>
      <c r="F6" s="10">
        <v>39.0</v>
      </c>
      <c r="G6" s="38">
        <v>0.3939</v>
      </c>
      <c r="H6" s="10">
        <v>5.0</v>
      </c>
      <c r="I6" s="38">
        <v>0.125</v>
      </c>
      <c r="J6" s="10" t="s">
        <v>40</v>
      </c>
    </row>
    <row r="7">
      <c r="A7" s="10" t="s">
        <v>47</v>
      </c>
      <c r="D7" s="10">
        <v>206.0</v>
      </c>
      <c r="E7" s="38">
        <v>0.4221</v>
      </c>
      <c r="F7" s="10">
        <v>29.0</v>
      </c>
      <c r="G7" s="38">
        <v>0.2929</v>
      </c>
      <c r="H7" s="10">
        <v>2.0</v>
      </c>
      <c r="I7" s="38">
        <v>0.05</v>
      </c>
      <c r="J7" s="10" t="s">
        <v>40</v>
      </c>
      <c r="L7" s="10">
        <v>0.0</v>
      </c>
    </row>
    <row r="8">
      <c r="A8" s="10" t="s">
        <v>48</v>
      </c>
      <c r="D8" s="10">
        <v>282.0</v>
      </c>
      <c r="E8" s="38">
        <v>0.5779</v>
      </c>
      <c r="F8" s="10">
        <v>72.0</v>
      </c>
      <c r="G8" s="38">
        <v>0.7273</v>
      </c>
      <c r="H8" s="10">
        <v>31.0</v>
      </c>
      <c r="I8" s="38">
        <v>0.775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183.0</v>
      </c>
      <c r="E9" s="38">
        <v>0.375</v>
      </c>
      <c r="F9" s="10">
        <v>33.0</v>
      </c>
      <c r="G9" s="38">
        <v>0.3333</v>
      </c>
      <c r="H9" s="10">
        <v>4.0</v>
      </c>
      <c r="I9" s="38">
        <v>0.1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35.0</v>
      </c>
      <c r="E11" s="38">
        <v>0.0717</v>
      </c>
      <c r="F11" s="10">
        <v>5.0</v>
      </c>
      <c r="G11" s="38">
        <v>0.0505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244.0</v>
      </c>
      <c r="E12" s="38">
        <v>0.5</v>
      </c>
      <c r="F12" s="10">
        <v>63.0</v>
      </c>
      <c r="G12" s="38">
        <v>0.6364</v>
      </c>
      <c r="H12" s="10">
        <v>32.0</v>
      </c>
      <c r="I12" s="38">
        <v>0.8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98.0</v>
      </c>
      <c r="E13" s="38">
        <v>0.2008</v>
      </c>
      <c r="F13" s="10">
        <v>27.0</v>
      </c>
      <c r="G13" s="38">
        <v>0.2727</v>
      </c>
      <c r="H13" s="10">
        <v>10.0</v>
      </c>
      <c r="I13" s="38">
        <v>0.25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51.0</v>
      </c>
      <c r="E14" s="38">
        <v>0.1045</v>
      </c>
      <c r="F14" s="10">
        <v>13.0</v>
      </c>
      <c r="G14" s="38">
        <v>0.1313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237.0</v>
      </c>
      <c r="E15" s="38">
        <v>0.4857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0.1086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0.0533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61.0</v>
      </c>
      <c r="E18" s="38">
        <v>0.125</v>
      </c>
      <c r="F18" s="10">
        <v>12.0</v>
      </c>
      <c r="G18" s="38">
        <v>0.1212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10.0</v>
      </c>
      <c r="E19" s="38">
        <v>0.0205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11.0</v>
      </c>
      <c r="E20" s="38">
        <v>0.0225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12.0</v>
      </c>
      <c r="G21" s="38">
        <v>0.1212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239.0</v>
      </c>
      <c r="E22" s="38">
        <v>0.4898</v>
      </c>
      <c r="F22" s="10">
        <v>60.0</v>
      </c>
      <c r="G22" s="38">
        <v>0.6061</v>
      </c>
      <c r="H22" s="10">
        <v>16.0</v>
      </c>
      <c r="I22" s="38">
        <v>0.4</v>
      </c>
      <c r="J22" s="10" t="s">
        <v>40</v>
      </c>
    </row>
    <row r="23">
      <c r="A23" s="10" t="s">
        <v>64</v>
      </c>
      <c r="D23" s="10">
        <v>213.0</v>
      </c>
      <c r="E23" s="38">
        <v>0.4365</v>
      </c>
      <c r="F23" s="10">
        <v>32.0</v>
      </c>
      <c r="G23" s="38">
        <v>0.3232</v>
      </c>
      <c r="H23" s="10">
        <v>16.0</v>
      </c>
      <c r="I23" s="38">
        <v>0.4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69.0</v>
      </c>
      <c r="E24" s="38">
        <v>0.1414</v>
      </c>
      <c r="F24" s="10">
        <v>7.0</v>
      </c>
      <c r="G24" s="38">
        <v>0.0707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119.0</v>
      </c>
      <c r="E25" s="38">
        <v>0.2439</v>
      </c>
      <c r="F25" s="10">
        <v>27.0</v>
      </c>
      <c r="G25" s="38">
        <v>0.2727</v>
      </c>
      <c r="H25" s="10">
        <v>29.0</v>
      </c>
      <c r="I25" s="38">
        <v>0.725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129.0</v>
      </c>
      <c r="E26" s="38">
        <v>0.2643</v>
      </c>
      <c r="F26" s="10">
        <v>25.0</v>
      </c>
      <c r="G26" s="38">
        <v>0.2525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95.0</v>
      </c>
      <c r="E27" s="38">
        <v>0.1947</v>
      </c>
      <c r="F27" s="10">
        <v>27.0</v>
      </c>
      <c r="G27" s="38">
        <v>0.2727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95.0</v>
      </c>
      <c r="E28" s="38">
        <v>0.1947</v>
      </c>
      <c r="F28" s="10">
        <v>18.0</v>
      </c>
      <c r="G28" s="38">
        <v>0.1818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5.0</v>
      </c>
      <c r="E29" s="38">
        <v>0.0102</v>
      </c>
      <c r="F29" s="10">
        <v>0.0</v>
      </c>
      <c r="G29" s="38">
        <v>0.0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93.0</v>
      </c>
      <c r="E30" s="38">
        <v>0.1906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0.0287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114.0</v>
      </c>
      <c r="E32" s="38">
        <v>0.2336</v>
      </c>
      <c r="F32" s="10">
        <v>30.0</v>
      </c>
      <c r="G32" s="38">
        <v>0.303</v>
      </c>
      <c r="H32" s="10">
        <v>18.0</v>
      </c>
      <c r="I32" s="38">
        <v>0.45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5.0</v>
      </c>
      <c r="E33" s="38">
        <v>0.0102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136.0</v>
      </c>
      <c r="E34" s="38">
        <v>0.2787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0.0287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26.0</v>
      </c>
      <c r="E36" s="38">
        <v>0.0533</v>
      </c>
      <c r="F36" s="10">
        <v>4.0</v>
      </c>
      <c r="G36" s="38">
        <v>0.0404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266.0</v>
      </c>
      <c r="E37" s="38">
        <v>0.5451</v>
      </c>
      <c r="F37" s="10">
        <v>44.0</v>
      </c>
      <c r="G37" s="38">
        <v>0.4444</v>
      </c>
      <c r="H37" s="10">
        <v>18.0</v>
      </c>
      <c r="I37" s="38">
        <v>0.45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144.0</v>
      </c>
      <c r="E38" s="38">
        <v>0.2951</v>
      </c>
      <c r="F38" s="10">
        <v>34.0</v>
      </c>
      <c r="G38" s="38">
        <v>0.3434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10.0</v>
      </c>
      <c r="E39" s="38">
        <v>0.0205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216.0</v>
      </c>
      <c r="E40" s="38">
        <v>0.4426</v>
      </c>
      <c r="F40" s="10">
        <v>55.0</v>
      </c>
      <c r="G40" s="38">
        <v>0.5556</v>
      </c>
      <c r="H40" s="10">
        <v>23.0</v>
      </c>
      <c r="I40" s="38">
        <v>0.575</v>
      </c>
      <c r="J40" s="10" t="s">
        <v>40</v>
      </c>
    </row>
    <row r="41">
      <c r="A41" s="10" t="s">
        <v>6</v>
      </c>
      <c r="D41" s="10">
        <v>51.0</v>
      </c>
      <c r="E41" s="38">
        <v>0.1045</v>
      </c>
      <c r="F41" s="10">
        <v>9.0</v>
      </c>
      <c r="G41" s="38">
        <v>0.0909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11.0</v>
      </c>
      <c r="E42" s="38">
        <v>0.0225</v>
      </c>
      <c r="F42" s="10">
        <v>1.0</v>
      </c>
      <c r="G42" s="38">
        <v>0.0101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31.0</v>
      </c>
      <c r="E43" s="38">
        <v>0.0635</v>
      </c>
      <c r="F43" s="10">
        <v>6.0</v>
      </c>
      <c r="G43" s="38">
        <v>0.0606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11.0</v>
      </c>
      <c r="E44" s="38">
        <v>0.0225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6.0</v>
      </c>
      <c r="E45" s="38">
        <v>0.0123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 t="e">
        <v>#N/A</v>
      </c>
      <c r="G46" s="10" t="e">
        <v>#N/A</v>
      </c>
      <c r="H46" s="10">
        <v>-0.00887330204</v>
      </c>
      <c r="I46" s="38">
        <v>-0.0089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228.0</v>
      </c>
      <c r="E3" s="38">
        <v>0.4663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0.5215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183.0</v>
      </c>
      <c r="E5" s="38">
        <v>0.3742</v>
      </c>
      <c r="F5" s="10">
        <v>55.0</v>
      </c>
      <c r="G5" s="38">
        <v>0.5556</v>
      </c>
      <c r="H5" s="10">
        <v>25.0</v>
      </c>
      <c r="I5" s="38">
        <v>0.625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306.0</v>
      </c>
      <c r="E6" s="38">
        <v>0.6258</v>
      </c>
      <c r="F6" s="10">
        <v>44.0</v>
      </c>
      <c r="G6" s="38">
        <v>0.4444</v>
      </c>
      <c r="H6" s="10">
        <v>8.0</v>
      </c>
      <c r="I6" s="38">
        <v>0.2</v>
      </c>
      <c r="J6" s="10" t="s">
        <v>40</v>
      </c>
    </row>
    <row r="7">
      <c r="A7" s="10" t="s">
        <v>47</v>
      </c>
      <c r="D7" s="10">
        <v>259.0</v>
      </c>
      <c r="E7" s="38">
        <v>0.5297</v>
      </c>
      <c r="F7" s="10">
        <v>41.0</v>
      </c>
      <c r="G7" s="38">
        <v>0.4141</v>
      </c>
      <c r="H7" s="10">
        <v>8.0</v>
      </c>
      <c r="I7" s="38">
        <v>0.2</v>
      </c>
      <c r="J7" s="10" t="s">
        <v>40</v>
      </c>
      <c r="L7" s="10">
        <v>1.0</v>
      </c>
    </row>
    <row r="8">
      <c r="A8" s="10" t="s">
        <v>48</v>
      </c>
      <c r="D8" s="10">
        <v>230.0</v>
      </c>
      <c r="E8" s="38">
        <v>0.4703</v>
      </c>
      <c r="F8" s="10">
        <v>60.0</v>
      </c>
      <c r="G8" s="38">
        <v>0.6061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199.0</v>
      </c>
      <c r="E9" s="38">
        <v>0.407</v>
      </c>
      <c r="F9" s="10">
        <v>40.0</v>
      </c>
      <c r="G9" s="38">
        <v>0.404</v>
      </c>
      <c r="H9" s="10">
        <v>10.0</v>
      </c>
      <c r="I9" s="38">
        <v>0.25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62.0</v>
      </c>
      <c r="E11" s="38">
        <v>0.1268</v>
      </c>
      <c r="F11" s="10">
        <v>7.0</v>
      </c>
      <c r="G11" s="38">
        <v>0.0707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250.0</v>
      </c>
      <c r="E12" s="38">
        <v>0.5112</v>
      </c>
      <c r="F12" s="10">
        <v>73.0</v>
      </c>
      <c r="G12" s="38">
        <v>0.7374</v>
      </c>
      <c r="H12" s="10">
        <v>32.0</v>
      </c>
      <c r="I12" s="38">
        <v>0.8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107.0</v>
      </c>
      <c r="E13" s="38">
        <v>0.2188</v>
      </c>
      <c r="F13" s="10">
        <v>16.0</v>
      </c>
      <c r="G13" s="38">
        <v>0.1616</v>
      </c>
      <c r="H13" s="10">
        <v>12.0</v>
      </c>
      <c r="I13" s="38">
        <v>0.3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55.0</v>
      </c>
      <c r="E14" s="38">
        <v>0.1125</v>
      </c>
      <c r="F14" s="10">
        <v>17.0</v>
      </c>
      <c r="G14" s="38">
        <v>0.1717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238.0</v>
      </c>
      <c r="E15" s="38">
        <v>0.4867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0.1084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0.0532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26.0</v>
      </c>
      <c r="E18" s="38">
        <v>0.0532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1.0</v>
      </c>
      <c r="E19" s="38">
        <v>0.002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132.0</v>
      </c>
      <c r="E22" s="38">
        <v>0.2699</v>
      </c>
      <c r="F22" s="10">
        <v>24.0</v>
      </c>
      <c r="G22" s="38">
        <v>0.2424</v>
      </c>
      <c r="H22" s="10">
        <v>17.0</v>
      </c>
      <c r="I22" s="38">
        <v>0.425</v>
      </c>
      <c r="J22" s="10" t="s">
        <v>40</v>
      </c>
    </row>
    <row r="23">
      <c r="A23" s="10" t="s">
        <v>64</v>
      </c>
      <c r="D23" s="10">
        <v>301.0</v>
      </c>
      <c r="E23" s="38">
        <v>0.6155</v>
      </c>
      <c r="F23" s="10">
        <v>62.0</v>
      </c>
      <c r="G23" s="38">
        <v>0.6263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71.0</v>
      </c>
      <c r="E24" s="38">
        <v>0.1452</v>
      </c>
      <c r="F24" s="10">
        <v>15.0</v>
      </c>
      <c r="G24" s="38">
        <v>0.1515</v>
      </c>
      <c r="H24" s="10">
        <v>0.0</v>
      </c>
      <c r="I24" s="38">
        <v>0.0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184.0</v>
      </c>
      <c r="E25" s="38">
        <v>0.3763</v>
      </c>
      <c r="F25" s="10">
        <v>54.0</v>
      </c>
      <c r="G25" s="38">
        <v>0.5455</v>
      </c>
      <c r="H25" s="10">
        <v>29.0</v>
      </c>
      <c r="I25" s="38">
        <v>0.725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74.0</v>
      </c>
      <c r="E26" s="38">
        <v>0.1513</v>
      </c>
      <c r="F26" s="10">
        <v>13.0</v>
      </c>
      <c r="G26" s="38">
        <v>0.1313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34.0</v>
      </c>
      <c r="E27" s="38">
        <v>0.0695</v>
      </c>
      <c r="F27" s="10">
        <v>6.0</v>
      </c>
      <c r="G27" s="38">
        <v>0.0606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89.0</v>
      </c>
      <c r="E28" s="38">
        <v>0.182</v>
      </c>
      <c r="F28" s="10">
        <v>12.0</v>
      </c>
      <c r="G28" s="38">
        <v>0.1212</v>
      </c>
      <c r="H28" s="10">
        <v>0.0</v>
      </c>
      <c r="I28" s="38">
        <v>0.0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24.0</v>
      </c>
      <c r="E29" s="38">
        <v>0.0491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94.0</v>
      </c>
      <c r="E30" s="38">
        <v>0.1922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0.0286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118.0</v>
      </c>
      <c r="E32" s="38">
        <v>0.2413</v>
      </c>
      <c r="F32" s="10">
        <v>27.0</v>
      </c>
      <c r="G32" s="38">
        <v>0.2727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25.0</v>
      </c>
      <c r="E33" s="38">
        <v>0.0511</v>
      </c>
      <c r="F33" s="10">
        <v>1.0</v>
      </c>
      <c r="G33" s="38">
        <v>0.0101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137.0</v>
      </c>
      <c r="E34" s="38">
        <v>0.2802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0.0286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24.0</v>
      </c>
      <c r="E36" s="38">
        <v>0.0491</v>
      </c>
      <c r="F36" s="10">
        <v>3.0</v>
      </c>
      <c r="G36" s="38">
        <v>0.0303</v>
      </c>
      <c r="H36" s="10">
        <v>2.0</v>
      </c>
      <c r="I36" s="38">
        <v>0.05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247.0</v>
      </c>
      <c r="E37" s="38">
        <v>0.5051</v>
      </c>
      <c r="F37" s="10">
        <v>34.0</v>
      </c>
      <c r="G37" s="38">
        <v>0.3434</v>
      </c>
      <c r="H37" s="10">
        <v>14.0</v>
      </c>
      <c r="I37" s="38">
        <v>0.35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132.0</v>
      </c>
      <c r="E38" s="38">
        <v>0.2699</v>
      </c>
      <c r="F38" s="10">
        <v>25.0</v>
      </c>
      <c r="G38" s="38">
        <v>0.2525</v>
      </c>
      <c r="H38" s="10">
        <v>10.0</v>
      </c>
      <c r="I38" s="38">
        <v>0.25</v>
      </c>
      <c r="J38" s="10" t="s">
        <v>40</v>
      </c>
      <c r="K38" s="10" t="s">
        <v>43</v>
      </c>
    </row>
    <row r="39">
      <c r="A39" s="10" t="s">
        <v>78</v>
      </c>
      <c r="D39" s="10">
        <v>5.0</v>
      </c>
      <c r="E39" s="38">
        <v>0.0102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239.0</v>
      </c>
      <c r="E40" s="38">
        <v>0.4888</v>
      </c>
      <c r="F40" s="10">
        <v>67.0</v>
      </c>
      <c r="G40" s="38">
        <v>0.6768</v>
      </c>
      <c r="H40" s="10">
        <v>27.0</v>
      </c>
      <c r="I40" s="38">
        <v>0.675</v>
      </c>
      <c r="J40" s="10" t="s">
        <v>40</v>
      </c>
    </row>
    <row r="41">
      <c r="A41" s="10" t="s">
        <v>6</v>
      </c>
      <c r="D41" s="10">
        <v>65.0</v>
      </c>
      <c r="E41" s="38">
        <v>0.1329</v>
      </c>
      <c r="F41" s="10">
        <v>12.0</v>
      </c>
      <c r="G41" s="38">
        <v>0.1212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36.0</v>
      </c>
      <c r="E42" s="38">
        <v>0.0736</v>
      </c>
      <c r="F42" s="10">
        <v>7.0</v>
      </c>
      <c r="G42" s="38">
        <v>0.0707</v>
      </c>
      <c r="H42" s="10">
        <v>6.0</v>
      </c>
      <c r="I42" s="38">
        <v>0.15</v>
      </c>
      <c r="J42" s="10" t="s">
        <v>40</v>
      </c>
    </row>
    <row r="43">
      <c r="A43" s="10" t="s">
        <v>80</v>
      </c>
      <c r="D43" s="10">
        <v>51.0</v>
      </c>
      <c r="E43" s="38">
        <v>0.1043</v>
      </c>
      <c r="F43" s="10">
        <v>8.0</v>
      </c>
      <c r="G43" s="38">
        <v>0.0808</v>
      </c>
      <c r="H43" s="10">
        <v>8.0</v>
      </c>
      <c r="I43" s="38">
        <v>0.2</v>
      </c>
      <c r="J43" s="10" t="s">
        <v>40</v>
      </c>
    </row>
    <row r="44">
      <c r="A44" s="10" t="s">
        <v>10</v>
      </c>
      <c r="D44" s="10">
        <v>7.0</v>
      </c>
      <c r="E44" s="38">
        <v>0.0143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22.0</v>
      </c>
      <c r="E45" s="38">
        <v>0.045</v>
      </c>
      <c r="F45" s="10">
        <v>6.0</v>
      </c>
      <c r="G45" s="38">
        <v>0.0606</v>
      </c>
      <c r="H45" s="10">
        <v>5.0</v>
      </c>
      <c r="I45" s="38">
        <v>0.125</v>
      </c>
      <c r="J45" s="10" t="s">
        <v>40</v>
      </c>
      <c r="K45" s="10" t="s">
        <v>66</v>
      </c>
    </row>
    <row r="46">
      <c r="A46" s="10" t="s">
        <v>83</v>
      </c>
      <c r="D46" s="10">
        <v>0.01415834956</v>
      </c>
      <c r="E46" s="38">
        <v>0.0142</v>
      </c>
      <c r="F46" s="10">
        <v>-0.01167064094</v>
      </c>
      <c r="G46" s="38">
        <v>-0.0117</v>
      </c>
      <c r="H46" s="10">
        <v>-0.01111678477</v>
      </c>
      <c r="I46" s="38">
        <v>-0.0111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228.0</v>
      </c>
      <c r="E3" s="38">
        <v>0.4663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0.5215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177.0</v>
      </c>
      <c r="E5" s="38">
        <v>0.362</v>
      </c>
      <c r="F5" s="10">
        <v>48.0</v>
      </c>
      <c r="G5" s="38">
        <v>0.4848</v>
      </c>
      <c r="H5" s="10">
        <v>18.0</v>
      </c>
      <c r="I5" s="38">
        <v>0.45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312.0</v>
      </c>
      <c r="E6" s="38">
        <v>0.638</v>
      </c>
      <c r="F6" s="10">
        <v>51.0</v>
      </c>
      <c r="G6" s="38">
        <v>0.5152</v>
      </c>
      <c r="H6" s="10">
        <v>15.0</v>
      </c>
      <c r="I6" s="38">
        <v>0.375</v>
      </c>
      <c r="J6" s="10" t="s">
        <v>40</v>
      </c>
    </row>
    <row r="7">
      <c r="A7" s="10" t="s">
        <v>47</v>
      </c>
      <c r="D7" s="10">
        <v>284.0</v>
      </c>
      <c r="E7" s="38">
        <v>0.5808</v>
      </c>
      <c r="F7" s="10">
        <v>55.0</v>
      </c>
      <c r="G7" s="38">
        <v>0.5556</v>
      </c>
      <c r="H7" s="10">
        <v>9.0</v>
      </c>
      <c r="I7" s="38">
        <v>0.225</v>
      </c>
      <c r="J7" s="10" t="s">
        <v>40</v>
      </c>
      <c r="L7" s="10">
        <v>1.0</v>
      </c>
    </row>
    <row r="8">
      <c r="A8" s="10" t="s">
        <v>48</v>
      </c>
      <c r="D8" s="10">
        <v>205.0</v>
      </c>
      <c r="E8" s="38">
        <v>0.4192</v>
      </c>
      <c r="F8" s="10">
        <v>46.0</v>
      </c>
      <c r="G8" s="38">
        <v>0.4646</v>
      </c>
      <c r="H8" s="10">
        <v>24.0</v>
      </c>
      <c r="I8" s="38">
        <v>0.6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202.0</v>
      </c>
      <c r="E9" s="38">
        <v>0.4131</v>
      </c>
      <c r="F9" s="10">
        <v>50.0</v>
      </c>
      <c r="G9" s="38">
        <v>0.5051</v>
      </c>
      <c r="H9" s="10">
        <v>17.0</v>
      </c>
      <c r="I9" s="38">
        <v>0.425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46.0</v>
      </c>
      <c r="E11" s="38">
        <v>0.0941</v>
      </c>
      <c r="F11" s="10">
        <v>9.0</v>
      </c>
      <c r="G11" s="38">
        <v>0.0909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233.0</v>
      </c>
      <c r="E12" s="38">
        <v>0.4765</v>
      </c>
      <c r="F12" s="10">
        <v>73.0</v>
      </c>
      <c r="G12" s="38">
        <v>0.7374</v>
      </c>
      <c r="H12" s="10">
        <v>31.0</v>
      </c>
      <c r="I12" s="38">
        <v>0.775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100.0</v>
      </c>
      <c r="E13" s="38">
        <v>0.2045</v>
      </c>
      <c r="F13" s="10">
        <v>15.0</v>
      </c>
      <c r="G13" s="38">
        <v>0.1515</v>
      </c>
      <c r="H13" s="10">
        <v>15.0</v>
      </c>
      <c r="I13" s="38">
        <v>0.375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62.0</v>
      </c>
      <c r="E14" s="38">
        <v>0.1268</v>
      </c>
      <c r="F14" s="10">
        <v>20.0</v>
      </c>
      <c r="G14" s="38">
        <v>0.202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238.0</v>
      </c>
      <c r="E15" s="38">
        <v>0.4867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0.1084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0.0532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26.0</v>
      </c>
      <c r="E18" s="38">
        <v>0.0532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42.0</v>
      </c>
      <c r="E19" s="38">
        <v>0.0859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8.0</v>
      </c>
      <c r="E21" s="38">
        <v>0.0164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222.0</v>
      </c>
      <c r="E22" s="38">
        <v>0.454</v>
      </c>
      <c r="F22" s="10">
        <v>46.0</v>
      </c>
      <c r="G22" s="38">
        <v>0.4646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241.0</v>
      </c>
      <c r="E23" s="38">
        <v>0.4928</v>
      </c>
      <c r="F23" s="10">
        <v>50.0</v>
      </c>
      <c r="G23" s="38">
        <v>0.5051</v>
      </c>
      <c r="H23" s="10">
        <v>9.0</v>
      </c>
      <c r="I23" s="38">
        <v>0.225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82.0</v>
      </c>
      <c r="E24" s="38">
        <v>0.1677</v>
      </c>
      <c r="F24" s="10">
        <v>10.0</v>
      </c>
      <c r="G24" s="38">
        <v>0.101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111.0</v>
      </c>
      <c r="E25" s="38">
        <v>0.227</v>
      </c>
      <c r="F25" s="10">
        <v>33.0</v>
      </c>
      <c r="G25" s="38">
        <v>0.3333</v>
      </c>
      <c r="H25" s="10">
        <v>27.0</v>
      </c>
      <c r="I25" s="38">
        <v>0.675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170.0</v>
      </c>
      <c r="E26" s="38">
        <v>0.3476</v>
      </c>
      <c r="F26" s="10">
        <v>43.0</v>
      </c>
      <c r="G26" s="38">
        <v>0.4343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69.0</v>
      </c>
      <c r="E27" s="38">
        <v>0.1411</v>
      </c>
      <c r="F27" s="10">
        <v>14.0</v>
      </c>
      <c r="G27" s="38">
        <v>0.1414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85.0</v>
      </c>
      <c r="E28" s="38">
        <v>0.1738</v>
      </c>
      <c r="F28" s="10">
        <v>10.0</v>
      </c>
      <c r="G28" s="38">
        <v>0.101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21.0</v>
      </c>
      <c r="E29" s="38">
        <v>0.0429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94.0</v>
      </c>
      <c r="E30" s="38">
        <v>0.1922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0.0286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111.0</v>
      </c>
      <c r="E32" s="38">
        <v>0.227</v>
      </c>
      <c r="F32" s="10">
        <v>24.0</v>
      </c>
      <c r="G32" s="38">
        <v>0.2424</v>
      </c>
      <c r="H32" s="10">
        <v>16.0</v>
      </c>
      <c r="I32" s="38">
        <v>0.4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22.0</v>
      </c>
      <c r="E33" s="38">
        <v>0.045</v>
      </c>
      <c r="F33" s="10">
        <v>3.0</v>
      </c>
      <c r="G33" s="38">
        <v>0.0303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137.0</v>
      </c>
      <c r="E34" s="38">
        <v>0.2802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0.0286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25.0</v>
      </c>
      <c r="E36" s="38">
        <v>0.0511</v>
      </c>
      <c r="F36" s="10">
        <v>4.0</v>
      </c>
      <c r="G36" s="38">
        <v>0.0404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259.0</v>
      </c>
      <c r="E37" s="38">
        <v>0.5297</v>
      </c>
      <c r="F37" s="10">
        <v>44.0</v>
      </c>
      <c r="G37" s="38">
        <v>0.4444</v>
      </c>
      <c r="H37" s="10">
        <v>22.0</v>
      </c>
      <c r="I37" s="38">
        <v>0.55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138.0</v>
      </c>
      <c r="E38" s="38">
        <v>0.2822</v>
      </c>
      <c r="F38" s="10">
        <v>29.0</v>
      </c>
      <c r="G38" s="38">
        <v>0.2929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224.0</v>
      </c>
      <c r="E40" s="38">
        <v>0.4581</v>
      </c>
      <c r="F40" s="10">
        <v>57.0</v>
      </c>
      <c r="G40" s="38">
        <v>0.5758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46.0</v>
      </c>
      <c r="E41" s="38">
        <v>0.0941</v>
      </c>
      <c r="F41" s="10">
        <v>10.0</v>
      </c>
      <c r="G41" s="38">
        <v>0.101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27.0</v>
      </c>
      <c r="E42" s="38">
        <v>0.0552</v>
      </c>
      <c r="F42" s="10">
        <v>4.0</v>
      </c>
      <c r="G42" s="38">
        <v>0.0404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34.0</v>
      </c>
      <c r="E43" s="38">
        <v>0.0695</v>
      </c>
      <c r="F43" s="10">
        <v>5.0</v>
      </c>
      <c r="G43" s="38">
        <v>0.0505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12.0</v>
      </c>
      <c r="E45" s="38">
        <v>0.0245</v>
      </c>
      <c r="F45" s="10">
        <v>1.0</v>
      </c>
      <c r="G45" s="38">
        <v>0.0101</v>
      </c>
      <c r="H45" s="10">
        <v>2.0</v>
      </c>
      <c r="I45" s="38">
        <v>0.05</v>
      </c>
      <c r="J45" s="10" t="s">
        <v>40</v>
      </c>
      <c r="K45" s="10" t="s">
        <v>66</v>
      </c>
    </row>
    <row r="46">
      <c r="A46" s="10" t="s">
        <v>83</v>
      </c>
      <c r="D46" s="10">
        <v>0.0258014864</v>
      </c>
      <c r="E46" s="38">
        <v>0.0258</v>
      </c>
      <c r="F46" s="10">
        <v>-0.005431187021</v>
      </c>
      <c r="G46" s="38">
        <v>-0.0054</v>
      </c>
      <c r="H46" s="10">
        <v>0.001694407129</v>
      </c>
      <c r="I46" s="38">
        <v>0.0017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228.0</v>
      </c>
      <c r="E3" s="38">
        <v>0.4663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0.5215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173.0</v>
      </c>
      <c r="E5" s="38">
        <v>0.3538</v>
      </c>
      <c r="F5" s="10">
        <v>46.0</v>
      </c>
      <c r="G5" s="38">
        <v>0.4646</v>
      </c>
      <c r="H5" s="10">
        <v>17.0</v>
      </c>
      <c r="I5" s="38">
        <v>0.425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316.0</v>
      </c>
      <c r="E6" s="38">
        <v>0.6462</v>
      </c>
      <c r="F6" s="10">
        <v>53.0</v>
      </c>
      <c r="G6" s="38">
        <v>0.5354</v>
      </c>
      <c r="H6" s="10">
        <v>16.0</v>
      </c>
      <c r="I6" s="38">
        <v>0.4</v>
      </c>
      <c r="J6" s="10" t="s">
        <v>40</v>
      </c>
    </row>
    <row r="7">
      <c r="A7" s="10" t="s">
        <v>47</v>
      </c>
      <c r="D7" s="10">
        <v>238.0</v>
      </c>
      <c r="E7" s="38">
        <v>0.4867</v>
      </c>
      <c r="F7" s="10">
        <v>49.0</v>
      </c>
      <c r="G7" s="38">
        <v>0.4949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251.0</v>
      </c>
      <c r="E8" s="38">
        <v>0.5133</v>
      </c>
      <c r="F8" s="10">
        <v>52.0</v>
      </c>
      <c r="G8" s="38">
        <v>0.5253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202.0</v>
      </c>
      <c r="E9" s="38">
        <v>0.4131</v>
      </c>
      <c r="F9" s="10">
        <v>48.0</v>
      </c>
      <c r="G9" s="38">
        <v>0.4848</v>
      </c>
      <c r="H9" s="10">
        <v>22.0</v>
      </c>
      <c r="I9" s="38">
        <v>0.55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2.0</v>
      </c>
      <c r="E10" s="38">
        <v>0.0041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62.0</v>
      </c>
      <c r="E11" s="38">
        <v>0.1268</v>
      </c>
      <c r="F11" s="10">
        <v>12.0</v>
      </c>
      <c r="G11" s="38">
        <v>0.1212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223.0</v>
      </c>
      <c r="E12" s="38">
        <v>0.456</v>
      </c>
      <c r="F12" s="10">
        <v>66.0</v>
      </c>
      <c r="G12" s="38">
        <v>0.6667</v>
      </c>
      <c r="H12" s="10">
        <v>27.0</v>
      </c>
      <c r="I12" s="38">
        <v>0.675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100.0</v>
      </c>
      <c r="E13" s="38">
        <v>0.2045</v>
      </c>
      <c r="F13" s="10">
        <v>21.0</v>
      </c>
      <c r="G13" s="38">
        <v>0.2121</v>
      </c>
      <c r="H13" s="10">
        <v>16.0</v>
      </c>
      <c r="I13" s="38">
        <v>0.4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60.0</v>
      </c>
      <c r="E14" s="38">
        <v>0.1227</v>
      </c>
      <c r="F14" s="10">
        <v>16.0</v>
      </c>
      <c r="G14" s="38">
        <v>0.1616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238.0</v>
      </c>
      <c r="E15" s="38">
        <v>0.4867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0.1084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0.0532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40.0</v>
      </c>
      <c r="E18" s="38">
        <v>0.0818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3.0</v>
      </c>
      <c r="E19" s="38">
        <v>0.0061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244.0</v>
      </c>
      <c r="E22" s="38">
        <v>0.499</v>
      </c>
      <c r="F22" s="10">
        <v>47.0</v>
      </c>
      <c r="G22" s="38">
        <v>0.4747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208.0</v>
      </c>
      <c r="E23" s="38">
        <v>0.4254</v>
      </c>
      <c r="F23" s="10">
        <v>46.0</v>
      </c>
      <c r="G23" s="38">
        <v>0.4646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65.0</v>
      </c>
      <c r="E24" s="38">
        <v>0.1329</v>
      </c>
      <c r="F24" s="10">
        <v>10.0</v>
      </c>
      <c r="G24" s="38">
        <v>0.101</v>
      </c>
      <c r="H24" s="10">
        <v>0.0</v>
      </c>
      <c r="I24" s="38">
        <v>0.0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138.0</v>
      </c>
      <c r="E25" s="38">
        <v>0.2822</v>
      </c>
      <c r="F25" s="10">
        <v>49.0</v>
      </c>
      <c r="G25" s="38">
        <v>0.4949</v>
      </c>
      <c r="H25" s="10">
        <v>30.0</v>
      </c>
      <c r="I25" s="38">
        <v>0.75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168.0</v>
      </c>
      <c r="E26" s="38">
        <v>0.3436</v>
      </c>
      <c r="F26" s="10">
        <v>37.0</v>
      </c>
      <c r="G26" s="38">
        <v>0.3737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71.0</v>
      </c>
      <c r="E27" s="38">
        <v>0.1452</v>
      </c>
      <c r="F27" s="10">
        <v>14.0</v>
      </c>
      <c r="G27" s="38">
        <v>0.1414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110.0</v>
      </c>
      <c r="E28" s="38">
        <v>0.2249</v>
      </c>
      <c r="F28" s="10">
        <v>17.0</v>
      </c>
      <c r="G28" s="38">
        <v>0.1717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6.0</v>
      </c>
      <c r="E29" s="38">
        <v>0.0123</v>
      </c>
      <c r="F29" s="10">
        <v>0.0</v>
      </c>
      <c r="G29" s="38">
        <v>0.0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94.0</v>
      </c>
      <c r="E30" s="38">
        <v>0.1922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0.0286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122.0</v>
      </c>
      <c r="E32" s="38">
        <v>0.2495</v>
      </c>
      <c r="F32" s="10">
        <v>26.0</v>
      </c>
      <c r="G32" s="38">
        <v>0.2626</v>
      </c>
      <c r="H32" s="10">
        <v>7.0</v>
      </c>
      <c r="I32" s="38">
        <v>0.175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6.0</v>
      </c>
      <c r="E33" s="38">
        <v>0.0123</v>
      </c>
      <c r="F33" s="10">
        <v>0.0</v>
      </c>
      <c r="G33" s="38">
        <v>0.0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137.0</v>
      </c>
      <c r="E34" s="38">
        <v>0.2802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0.0286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29.0</v>
      </c>
      <c r="E36" s="38">
        <v>0.0593</v>
      </c>
      <c r="F36" s="10">
        <v>4.0</v>
      </c>
      <c r="G36" s="38">
        <v>0.0404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272.0</v>
      </c>
      <c r="E37" s="38">
        <v>0.5562</v>
      </c>
      <c r="F37" s="10">
        <v>48.0</v>
      </c>
      <c r="G37" s="38">
        <v>0.4848</v>
      </c>
      <c r="H37" s="10">
        <v>22.0</v>
      </c>
      <c r="I37" s="38">
        <v>0.55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151.0</v>
      </c>
      <c r="E38" s="38">
        <v>0.3088</v>
      </c>
      <c r="F38" s="10">
        <v>28.0</v>
      </c>
      <c r="G38" s="38">
        <v>0.2828</v>
      </c>
      <c r="H38" s="10">
        <v>12.0</v>
      </c>
      <c r="I38" s="38">
        <v>0.3</v>
      </c>
      <c r="J38" s="10" t="s">
        <v>40</v>
      </c>
      <c r="K38" s="10" t="s">
        <v>43</v>
      </c>
    </row>
    <row r="39">
      <c r="A39" s="10" t="s">
        <v>78</v>
      </c>
      <c r="D39" s="10">
        <v>7.0</v>
      </c>
      <c r="E39" s="38">
        <v>0.0143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211.0</v>
      </c>
      <c r="E40" s="38">
        <v>0.4315</v>
      </c>
      <c r="F40" s="10">
        <v>52.0</v>
      </c>
      <c r="G40" s="38">
        <v>0.5253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43.0</v>
      </c>
      <c r="E41" s="38">
        <v>0.0879</v>
      </c>
      <c r="F41" s="10">
        <v>10.0</v>
      </c>
      <c r="G41" s="38">
        <v>0.101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12.0</v>
      </c>
      <c r="E42" s="38">
        <v>0.0245</v>
      </c>
      <c r="F42" s="10">
        <v>1.0</v>
      </c>
      <c r="G42" s="38">
        <v>0.0101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34.0</v>
      </c>
      <c r="E43" s="38">
        <v>0.0695</v>
      </c>
      <c r="F43" s="10">
        <v>5.0</v>
      </c>
      <c r="G43" s="38">
        <v>0.0505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14.0</v>
      </c>
      <c r="E44" s="38">
        <v>0.0286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6.0</v>
      </c>
      <c r="E45" s="38">
        <v>0.0123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0.01452608362</v>
      </c>
      <c r="E46" s="38">
        <v>0.0145</v>
      </c>
      <c r="F46" s="10">
        <v>-0.01056417749</v>
      </c>
      <c r="G46" s="38">
        <v>-0.0106</v>
      </c>
      <c r="H46" s="10">
        <v>0.008798554308</v>
      </c>
      <c r="I46" s="38">
        <v>0.0088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228.0</v>
      </c>
      <c r="E3" s="38">
        <v>0.4663</v>
      </c>
      <c r="F3" s="10">
        <v>52.0</v>
      </c>
      <c r="G3" s="38">
        <v>0.5253</v>
      </c>
      <c r="H3" s="10">
        <v>21.0</v>
      </c>
      <c r="I3" s="38">
        <v>0.525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255.0</v>
      </c>
      <c r="E4" s="38">
        <v>0.5215</v>
      </c>
      <c r="F4" s="10">
        <v>45.0</v>
      </c>
      <c r="G4" s="38">
        <v>0.4545</v>
      </c>
      <c r="H4" s="10">
        <v>12.0</v>
      </c>
      <c r="I4" s="38">
        <v>0.3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184.0</v>
      </c>
      <c r="E5" s="38">
        <v>0.3763</v>
      </c>
      <c r="F5" s="10">
        <v>48.0</v>
      </c>
      <c r="G5" s="38">
        <v>0.4848</v>
      </c>
      <c r="H5" s="10">
        <v>17.0</v>
      </c>
      <c r="I5" s="38">
        <v>0.425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305.0</v>
      </c>
      <c r="E6" s="38">
        <v>0.6237</v>
      </c>
      <c r="F6" s="10">
        <v>51.0</v>
      </c>
      <c r="G6" s="38">
        <v>0.5152</v>
      </c>
      <c r="H6" s="10">
        <v>16.0</v>
      </c>
      <c r="I6" s="38">
        <v>0.4</v>
      </c>
      <c r="J6" s="10" t="s">
        <v>40</v>
      </c>
    </row>
    <row r="7">
      <c r="A7" s="10" t="s">
        <v>47</v>
      </c>
      <c r="D7" s="10">
        <v>232.0</v>
      </c>
      <c r="E7" s="38">
        <v>0.4744</v>
      </c>
      <c r="F7" s="10">
        <v>47.0</v>
      </c>
      <c r="G7" s="38">
        <v>0.4747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257.0</v>
      </c>
      <c r="E8" s="38">
        <v>0.5256</v>
      </c>
      <c r="F8" s="10">
        <v>54.0</v>
      </c>
      <c r="G8" s="38">
        <v>0.5455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209.0</v>
      </c>
      <c r="E9" s="38">
        <v>0.4274</v>
      </c>
      <c r="F9" s="10">
        <v>52.0</v>
      </c>
      <c r="G9" s="38">
        <v>0.5253</v>
      </c>
      <c r="H9" s="10">
        <v>24.0</v>
      </c>
      <c r="I9" s="38">
        <v>0.6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3.0</v>
      </c>
      <c r="E10" s="38">
        <v>0.0061</v>
      </c>
      <c r="F10" s="10">
        <v>1.0</v>
      </c>
      <c r="G10" s="38">
        <v>0.0101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0.09</v>
      </c>
      <c r="F11" s="10">
        <v>10.0</v>
      </c>
      <c r="G11" s="38">
        <v>0.101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180.0</v>
      </c>
      <c r="E12" s="38">
        <v>0.3681</v>
      </c>
      <c r="F12" s="10">
        <v>49.0</v>
      </c>
      <c r="G12" s="38">
        <v>0.4949</v>
      </c>
      <c r="H12" s="10">
        <v>20.0</v>
      </c>
      <c r="I12" s="38">
        <v>0.5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108.0</v>
      </c>
      <c r="E13" s="38">
        <v>0.2209</v>
      </c>
      <c r="F13" s="10">
        <v>27.0</v>
      </c>
      <c r="G13" s="38">
        <v>0.2727</v>
      </c>
      <c r="H13" s="10">
        <v>18.0</v>
      </c>
      <c r="I13" s="38">
        <v>0.45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65.0</v>
      </c>
      <c r="E14" s="38">
        <v>0.1329</v>
      </c>
      <c r="F14" s="10">
        <v>20.0</v>
      </c>
      <c r="G14" s="38">
        <v>0.202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238.0</v>
      </c>
      <c r="E15" s="38">
        <v>0.4867</v>
      </c>
      <c r="F15" s="10">
        <v>62.0</v>
      </c>
      <c r="G15" s="38">
        <v>0.6263</v>
      </c>
      <c r="H15" s="10">
        <v>28.0</v>
      </c>
      <c r="I15" s="38">
        <v>0.7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53.0</v>
      </c>
      <c r="E16" s="38">
        <v>0.1084</v>
      </c>
      <c r="F16" s="10">
        <v>5.0</v>
      </c>
      <c r="G16" s="38">
        <v>0.0505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26.0</v>
      </c>
      <c r="E17" s="38">
        <v>0.0532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97.0</v>
      </c>
      <c r="E18" s="38">
        <v>0.1984</v>
      </c>
      <c r="F18" s="10">
        <v>15.0</v>
      </c>
      <c r="G18" s="38">
        <v>0.1515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16.0</v>
      </c>
      <c r="E19" s="38">
        <v>0.0327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22.0</v>
      </c>
      <c r="E20" s="38">
        <v>0.045</v>
      </c>
      <c r="F20" s="10">
        <v>2.0</v>
      </c>
      <c r="G20" s="38">
        <v>0.0202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15.0</v>
      </c>
      <c r="G21" s="38">
        <v>0.1515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217.0</v>
      </c>
      <c r="E22" s="38">
        <v>0.4438</v>
      </c>
      <c r="F22" s="10">
        <v>37.0</v>
      </c>
      <c r="G22" s="38">
        <v>0.3737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237.0</v>
      </c>
      <c r="E23" s="38">
        <v>0.4847</v>
      </c>
      <c r="F23" s="10">
        <v>52.0</v>
      </c>
      <c r="G23" s="38">
        <v>0.5253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67.0</v>
      </c>
      <c r="E24" s="38">
        <v>0.137</v>
      </c>
      <c r="F24" s="10">
        <v>13.0</v>
      </c>
      <c r="G24" s="38">
        <v>0.1313</v>
      </c>
      <c r="H24" s="10">
        <v>15.0</v>
      </c>
      <c r="I24" s="38">
        <v>0.375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88.0</v>
      </c>
      <c r="E25" s="38">
        <v>0.18</v>
      </c>
      <c r="F25" s="10">
        <v>30.0</v>
      </c>
      <c r="G25" s="38">
        <v>0.303</v>
      </c>
      <c r="H25" s="10">
        <v>13.0</v>
      </c>
      <c r="I25" s="38">
        <v>0.325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148.0</v>
      </c>
      <c r="E26" s="38">
        <v>0.3027</v>
      </c>
      <c r="F26" s="10">
        <v>31.0</v>
      </c>
      <c r="G26" s="38">
        <v>0.3131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60.0</v>
      </c>
      <c r="E27" s="38">
        <v>0.1227</v>
      </c>
      <c r="F27" s="10">
        <v>13.0</v>
      </c>
      <c r="G27" s="38">
        <v>0.1313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114.0</v>
      </c>
      <c r="E28" s="38">
        <v>0.2331</v>
      </c>
      <c r="F28" s="10">
        <v>21.0</v>
      </c>
      <c r="G28" s="38">
        <v>0.2121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7.0</v>
      </c>
      <c r="E29" s="38">
        <v>0.0143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94.0</v>
      </c>
      <c r="E30" s="38">
        <v>0.1922</v>
      </c>
      <c r="F30" s="10">
        <v>17.0</v>
      </c>
      <c r="G30" s="38">
        <v>0.1717</v>
      </c>
      <c r="H30" s="10">
        <v>2.0</v>
      </c>
      <c r="I30" s="38">
        <v>0.05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14.0</v>
      </c>
      <c r="E31" s="38">
        <v>0.0286</v>
      </c>
      <c r="F31" s="10">
        <v>2.0</v>
      </c>
      <c r="G31" s="38">
        <v>0.0202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128.0</v>
      </c>
      <c r="E32" s="38">
        <v>0.2618</v>
      </c>
      <c r="F32" s="10">
        <v>31.0</v>
      </c>
      <c r="G32" s="38">
        <v>0.3131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7.0</v>
      </c>
      <c r="E33" s="38">
        <v>0.0143</v>
      </c>
      <c r="F33" s="10">
        <v>4.0</v>
      </c>
      <c r="G33" s="38">
        <v>0.0404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137.0</v>
      </c>
      <c r="E34" s="38">
        <v>0.2802</v>
      </c>
      <c r="F34" s="10">
        <v>32.0</v>
      </c>
      <c r="G34" s="38">
        <v>0.3232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14.0</v>
      </c>
      <c r="E35" s="38">
        <v>0.0286</v>
      </c>
      <c r="F35" s="10">
        <v>2.0</v>
      </c>
      <c r="G35" s="38">
        <v>0.0202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29.0</v>
      </c>
      <c r="E36" s="38">
        <v>0.0593</v>
      </c>
      <c r="F36" s="10">
        <v>4.0</v>
      </c>
      <c r="G36" s="38">
        <v>0.0404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267.0</v>
      </c>
      <c r="E37" s="38">
        <v>0.546</v>
      </c>
      <c r="F37" s="10">
        <v>49.0</v>
      </c>
      <c r="G37" s="38">
        <v>0.4949</v>
      </c>
      <c r="H37" s="10">
        <v>26.0</v>
      </c>
      <c r="I37" s="38">
        <v>0.65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163.0</v>
      </c>
      <c r="E38" s="38">
        <v>0.3333</v>
      </c>
      <c r="F38" s="10">
        <v>37.0</v>
      </c>
      <c r="G38" s="38">
        <v>0.3737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0.0245</v>
      </c>
      <c r="F39" s="10">
        <v>3.0</v>
      </c>
      <c r="G39" s="38">
        <v>0.0303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215.0</v>
      </c>
      <c r="E40" s="38">
        <v>0.4397</v>
      </c>
      <c r="F40" s="10">
        <v>50.0</v>
      </c>
      <c r="G40" s="38">
        <v>0.5051</v>
      </c>
      <c r="H40" s="10">
        <v>15.0</v>
      </c>
      <c r="I40" s="38">
        <v>0.375</v>
      </c>
      <c r="J40" s="10" t="s">
        <v>40</v>
      </c>
    </row>
    <row r="41">
      <c r="A41" s="10" t="s">
        <v>6</v>
      </c>
      <c r="D41" s="10">
        <v>46.0</v>
      </c>
      <c r="E41" s="38">
        <v>0.0941</v>
      </c>
      <c r="F41" s="10">
        <v>11.0</v>
      </c>
      <c r="G41" s="38">
        <v>0.1111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14.0</v>
      </c>
      <c r="E42" s="38">
        <v>0.0286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32.0</v>
      </c>
      <c r="E43" s="38">
        <v>0.0654</v>
      </c>
      <c r="F43" s="10">
        <v>8.0</v>
      </c>
      <c r="G43" s="38">
        <v>0.0808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10.0</v>
      </c>
      <c r="E44" s="38">
        <v>0.0204</v>
      </c>
      <c r="F44" s="10">
        <v>2.0</v>
      </c>
      <c r="G44" s="38">
        <v>0.0202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3.0</v>
      </c>
      <c r="E45" s="38">
        <v>0.0061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>
        <v>0.03580649969</v>
      </c>
      <c r="E46" s="38">
        <v>0.0358</v>
      </c>
      <c r="F46" s="10">
        <v>-0.006467399109</v>
      </c>
      <c r="G46" s="38">
        <v>-0.0065</v>
      </c>
      <c r="H46" s="10">
        <v>0.01634666524</v>
      </c>
      <c r="I46" s="38">
        <v>0.0163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1.0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193.0</v>
      </c>
      <c r="E5" s="38">
        <v>0.3947</v>
      </c>
      <c r="F5" s="10">
        <v>48.0</v>
      </c>
      <c r="G5" s="38">
        <v>0.4848</v>
      </c>
      <c r="H5" s="10">
        <v>20.0</v>
      </c>
      <c r="I5" s="38">
        <v>0.5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296.0</v>
      </c>
      <c r="E6" s="38">
        <v>0.6053</v>
      </c>
      <c r="F6" s="10">
        <v>51.0</v>
      </c>
      <c r="G6" s="38">
        <v>0.5152</v>
      </c>
      <c r="H6" s="10">
        <v>13.0</v>
      </c>
      <c r="I6" s="38">
        <v>0.325</v>
      </c>
      <c r="J6" s="10" t="s">
        <v>40</v>
      </c>
    </row>
    <row r="7">
      <c r="A7" s="10" t="s">
        <v>47</v>
      </c>
      <c r="D7" s="10">
        <v>239.0</v>
      </c>
      <c r="E7" s="38">
        <v>0.4888</v>
      </c>
      <c r="F7" s="10">
        <v>51.0</v>
      </c>
      <c r="G7" s="38">
        <v>0.5152</v>
      </c>
      <c r="H7" s="10">
        <v>5.0</v>
      </c>
      <c r="I7" s="38">
        <v>0.125</v>
      </c>
      <c r="J7" s="10" t="s">
        <v>40</v>
      </c>
      <c r="L7" s="10">
        <v>0.0</v>
      </c>
    </row>
    <row r="8">
      <c r="A8" s="10" t="s">
        <v>48</v>
      </c>
      <c r="D8" s="10">
        <v>250.0</v>
      </c>
      <c r="E8" s="38">
        <v>0.5112</v>
      </c>
      <c r="F8" s="10">
        <v>50.0</v>
      </c>
      <c r="G8" s="38">
        <v>0.5051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218.0</v>
      </c>
      <c r="E9" s="38">
        <v>0.4458</v>
      </c>
      <c r="F9" s="10">
        <v>54.0</v>
      </c>
      <c r="G9" s="38">
        <v>0.5455</v>
      </c>
      <c r="H9" s="10">
        <v>21.0</v>
      </c>
      <c r="I9" s="38">
        <v>0.525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46.0</v>
      </c>
      <c r="E11" s="38">
        <v>0.0941</v>
      </c>
      <c r="F11" s="10">
        <v>9.0</v>
      </c>
      <c r="G11" s="38">
        <v>0.0909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210.0</v>
      </c>
      <c r="E12" s="38">
        <v>0.4294</v>
      </c>
      <c r="F12" s="10">
        <v>58.0</v>
      </c>
      <c r="G12" s="38">
        <v>0.5859</v>
      </c>
      <c r="H12" s="10">
        <v>28.0</v>
      </c>
      <c r="I12" s="38">
        <v>0.7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104.0</v>
      </c>
      <c r="E13" s="38">
        <v>0.2127</v>
      </c>
      <c r="F13" s="10">
        <v>23.0</v>
      </c>
      <c r="G13" s="38">
        <v>0.2323</v>
      </c>
      <c r="H13" s="10">
        <v>15.0</v>
      </c>
      <c r="I13" s="38">
        <v>0.375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62.0</v>
      </c>
      <c r="E14" s="38">
        <v>0.1268</v>
      </c>
      <c r="F14" s="10">
        <v>14.0</v>
      </c>
      <c r="G14" s="38">
        <v>0.1414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28.0</v>
      </c>
      <c r="E18" s="38">
        <v>0.0573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53.0</v>
      </c>
      <c r="E19" s="38">
        <v>0.1084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218.0</v>
      </c>
      <c r="E22" s="38">
        <v>0.4458</v>
      </c>
      <c r="F22" s="10">
        <v>35.0</v>
      </c>
      <c r="G22" s="38">
        <v>0.3535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233.0</v>
      </c>
      <c r="E23" s="38">
        <v>0.4765</v>
      </c>
      <c r="F23" s="10">
        <v>58.0</v>
      </c>
      <c r="G23" s="38">
        <v>0.5859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101.0</v>
      </c>
      <c r="E24" s="38">
        <v>0.2065</v>
      </c>
      <c r="F24" s="10">
        <v>18.0</v>
      </c>
      <c r="G24" s="38">
        <v>0.1818</v>
      </c>
      <c r="H24" s="10">
        <v>5.0</v>
      </c>
      <c r="I24" s="38">
        <v>0.125</v>
      </c>
      <c r="J24" s="10" t="s">
        <v>40</v>
      </c>
      <c r="K24" s="10" t="s">
        <v>79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114.0</v>
      </c>
      <c r="E25" s="38">
        <v>0.2331</v>
      </c>
      <c r="F25" s="10">
        <v>42.0</v>
      </c>
      <c r="G25" s="38">
        <v>0.4242</v>
      </c>
      <c r="H25" s="10">
        <v>26.0</v>
      </c>
      <c r="I25" s="38">
        <v>0.65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143.0</v>
      </c>
      <c r="E26" s="38">
        <v>0.2924</v>
      </c>
      <c r="F26" s="10">
        <v>24.0</v>
      </c>
      <c r="G26" s="38">
        <v>0.2424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39.0</v>
      </c>
      <c r="E27" s="38">
        <v>0.0798</v>
      </c>
      <c r="F27" s="10">
        <v>6.0</v>
      </c>
      <c r="G27" s="38">
        <v>0.0606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99.0</v>
      </c>
      <c r="E28" s="38">
        <v>0.2025</v>
      </c>
      <c r="F28" s="10">
        <v>16.0</v>
      </c>
      <c r="G28" s="38">
        <v>0.1616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6.0</v>
      </c>
      <c r="E29" s="38">
        <v>0.0123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119.0</v>
      </c>
      <c r="E32" s="38">
        <v>0.2434</v>
      </c>
      <c r="F32" s="10">
        <v>26.0</v>
      </c>
      <c r="G32" s="38">
        <v>0.2626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7.0</v>
      </c>
      <c r="E33" s="38">
        <v>0.0143</v>
      </c>
      <c r="F33" s="10">
        <v>1.0</v>
      </c>
      <c r="G33" s="38">
        <v>0.0101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28.0</v>
      </c>
      <c r="E36" s="38">
        <v>0.0573</v>
      </c>
      <c r="F36" s="10">
        <v>3.0</v>
      </c>
      <c r="G36" s="38">
        <v>0.0303</v>
      </c>
      <c r="H36" s="10">
        <v>2.0</v>
      </c>
      <c r="I36" s="38">
        <v>0.05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273.0</v>
      </c>
      <c r="E37" s="38">
        <v>0.5583</v>
      </c>
      <c r="F37" s="10">
        <v>46.0</v>
      </c>
      <c r="G37" s="38">
        <v>0.4646</v>
      </c>
      <c r="H37" s="10">
        <v>26.0</v>
      </c>
      <c r="I37" s="38">
        <v>0.65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149.0</v>
      </c>
      <c r="E38" s="38">
        <v>0.3047</v>
      </c>
      <c r="F38" s="10">
        <v>30.0</v>
      </c>
      <c r="G38" s="38">
        <v>0.303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214.0</v>
      </c>
      <c r="E40" s="38">
        <v>0.4376</v>
      </c>
      <c r="F40" s="10">
        <v>55.0</v>
      </c>
      <c r="G40" s="38">
        <v>0.5556</v>
      </c>
      <c r="H40" s="10">
        <v>15.0</v>
      </c>
      <c r="I40" s="38">
        <v>0.375</v>
      </c>
      <c r="J40" s="10" t="s">
        <v>40</v>
      </c>
    </row>
    <row r="41">
      <c r="A41" s="10" t="s">
        <v>6</v>
      </c>
      <c r="D41" s="10">
        <v>43.0</v>
      </c>
      <c r="E41" s="38">
        <v>0.0879</v>
      </c>
      <c r="F41" s="10">
        <v>12.0</v>
      </c>
      <c r="G41" s="38">
        <v>0.1212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11.0</v>
      </c>
      <c r="E42" s="38">
        <v>0.0225</v>
      </c>
      <c r="F42" s="10">
        <v>3.0</v>
      </c>
      <c r="G42" s="38">
        <v>0.0303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35.0</v>
      </c>
      <c r="E43" s="38">
        <v>0.0716</v>
      </c>
      <c r="F43" s="10">
        <v>9.0</v>
      </c>
      <c r="G43" s="38">
        <v>0.0909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7.0</v>
      </c>
      <c r="E44" s="38">
        <v>0.0143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0.0</v>
      </c>
      <c r="G45" s="38">
        <v>0.0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>
        <v>0.02421552563</v>
      </c>
      <c r="E46" s="38">
        <v>0.0242</v>
      </c>
      <c r="F46" s="10">
        <v>-0.009292429343</v>
      </c>
      <c r="G46" s="38">
        <v>-0.0093</v>
      </c>
      <c r="H46" s="10">
        <v>0.01198527174</v>
      </c>
      <c r="I46" s="38">
        <v>0.012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197.0</v>
      </c>
      <c r="E5" s="38">
        <v>0.4029</v>
      </c>
      <c r="F5" s="10">
        <v>50.0</v>
      </c>
      <c r="G5" s="38">
        <v>0.5051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292.0</v>
      </c>
      <c r="E6" s="38">
        <v>0.5971</v>
      </c>
      <c r="F6" s="10">
        <v>49.0</v>
      </c>
      <c r="G6" s="38">
        <v>0.4949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256.0</v>
      </c>
      <c r="E7" s="38">
        <v>0.5235</v>
      </c>
      <c r="F7" s="10">
        <v>56.0</v>
      </c>
      <c r="G7" s="38">
        <v>0.5657</v>
      </c>
      <c r="H7" s="10">
        <v>8.0</v>
      </c>
      <c r="I7" s="38">
        <v>0.2</v>
      </c>
      <c r="J7" s="10" t="s">
        <v>40</v>
      </c>
      <c r="L7" s="10">
        <v>1.0</v>
      </c>
    </row>
    <row r="8">
      <c r="A8" s="10" t="s">
        <v>48</v>
      </c>
      <c r="D8" s="10">
        <v>233.0</v>
      </c>
      <c r="E8" s="38">
        <v>0.4765</v>
      </c>
      <c r="F8" s="10">
        <v>45.0</v>
      </c>
      <c r="G8" s="38">
        <v>0.4545</v>
      </c>
      <c r="H8" s="10">
        <v>25.0</v>
      </c>
      <c r="I8" s="38">
        <v>0.625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216.0</v>
      </c>
      <c r="E9" s="38">
        <v>0.4417</v>
      </c>
      <c r="F9" s="10">
        <v>54.0</v>
      </c>
      <c r="G9" s="38">
        <v>0.5455</v>
      </c>
      <c r="H9" s="10">
        <v>20.0</v>
      </c>
      <c r="I9" s="38">
        <v>0.5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0.09</v>
      </c>
      <c r="F11" s="10">
        <v>9.0</v>
      </c>
      <c r="G11" s="38">
        <v>0.0909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234.0</v>
      </c>
      <c r="E12" s="38">
        <v>0.4785</v>
      </c>
      <c r="F12" s="10">
        <v>64.0</v>
      </c>
      <c r="G12" s="38">
        <v>0.6465</v>
      </c>
      <c r="H12" s="10">
        <v>29.0</v>
      </c>
      <c r="I12" s="38">
        <v>0.725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105.0</v>
      </c>
      <c r="E13" s="38">
        <v>0.2147</v>
      </c>
      <c r="F13" s="10">
        <v>20.0</v>
      </c>
      <c r="G13" s="38">
        <v>0.202</v>
      </c>
      <c r="H13" s="10">
        <v>16.0</v>
      </c>
      <c r="I13" s="38">
        <v>0.4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52.0</v>
      </c>
      <c r="E14" s="38">
        <v>0.1063</v>
      </c>
      <c r="F14" s="10">
        <v>10.0</v>
      </c>
      <c r="G14" s="38">
        <v>0.101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28.0</v>
      </c>
      <c r="E18" s="38">
        <v>0.0573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54.0</v>
      </c>
      <c r="E19" s="38">
        <v>0.1104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8.0</v>
      </c>
      <c r="E20" s="38">
        <v>0.0164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218.0</v>
      </c>
      <c r="E22" s="38">
        <v>0.4458</v>
      </c>
      <c r="F22" s="10">
        <v>41.0</v>
      </c>
      <c r="G22" s="38">
        <v>0.4141</v>
      </c>
      <c r="H22" s="10">
        <v>25.0</v>
      </c>
      <c r="I22" s="38">
        <v>0.625</v>
      </c>
      <c r="J22" s="10" t="s">
        <v>40</v>
      </c>
    </row>
    <row r="23">
      <c r="A23" s="10" t="s">
        <v>64</v>
      </c>
      <c r="D23" s="10">
        <v>248.0</v>
      </c>
      <c r="E23" s="38">
        <v>0.5072</v>
      </c>
      <c r="F23" s="10">
        <v>51.0</v>
      </c>
      <c r="G23" s="38">
        <v>0.5152</v>
      </c>
      <c r="H23" s="10">
        <v>6.0</v>
      </c>
      <c r="I23" s="38">
        <v>0.15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96.0</v>
      </c>
      <c r="E24" s="38">
        <v>0.1963</v>
      </c>
      <c r="F24" s="10">
        <v>15.0</v>
      </c>
      <c r="G24" s="38">
        <v>0.1515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133.0</v>
      </c>
      <c r="E25" s="38">
        <v>0.272</v>
      </c>
      <c r="F25" s="10">
        <v>43.0</v>
      </c>
      <c r="G25" s="38">
        <v>0.4343</v>
      </c>
      <c r="H25" s="10">
        <v>27.0</v>
      </c>
      <c r="I25" s="38">
        <v>0.675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141.0</v>
      </c>
      <c r="E26" s="38">
        <v>0.2883</v>
      </c>
      <c r="F26" s="10">
        <v>21.0</v>
      </c>
      <c r="G26" s="38">
        <v>0.2121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49.0</v>
      </c>
      <c r="E27" s="38">
        <v>0.1002</v>
      </c>
      <c r="F27" s="10">
        <v>8.0</v>
      </c>
      <c r="G27" s="38">
        <v>0.0808</v>
      </c>
      <c r="H27" s="10">
        <v>1.0</v>
      </c>
      <c r="I27" s="38">
        <v>0.025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93.0</v>
      </c>
      <c r="E28" s="38">
        <v>0.1902</v>
      </c>
      <c r="F28" s="10">
        <v>17.0</v>
      </c>
      <c r="G28" s="38">
        <v>0.1717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9.0</v>
      </c>
      <c r="E29" s="38">
        <v>0.0184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118.0</v>
      </c>
      <c r="E32" s="38">
        <v>0.2413</v>
      </c>
      <c r="F32" s="10">
        <v>32.0</v>
      </c>
      <c r="G32" s="38">
        <v>0.3232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11.0</v>
      </c>
      <c r="E33" s="38">
        <v>0.0225</v>
      </c>
      <c r="F33" s="10">
        <v>2.0</v>
      </c>
      <c r="G33" s="38">
        <v>0.0202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26.0</v>
      </c>
      <c r="E36" s="38">
        <v>0.0532</v>
      </c>
      <c r="F36" s="10">
        <v>3.0</v>
      </c>
      <c r="G36" s="38">
        <v>0.0303</v>
      </c>
      <c r="H36" s="10">
        <v>3.0</v>
      </c>
      <c r="I36" s="38">
        <v>0.075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278.0</v>
      </c>
      <c r="E37" s="38">
        <v>0.5685</v>
      </c>
      <c r="F37" s="10">
        <v>50.0</v>
      </c>
      <c r="G37" s="38">
        <v>0.5051</v>
      </c>
      <c r="H37" s="10">
        <v>27.0</v>
      </c>
      <c r="I37" s="38">
        <v>0.675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149.0</v>
      </c>
      <c r="E38" s="38">
        <v>0.3047</v>
      </c>
      <c r="F38" s="10">
        <v>35.0</v>
      </c>
      <c r="G38" s="38">
        <v>0.3535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5.0</v>
      </c>
      <c r="E39" s="38">
        <v>0.0102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207.0</v>
      </c>
      <c r="E40" s="38">
        <v>0.4233</v>
      </c>
      <c r="F40" s="10">
        <v>50.0</v>
      </c>
      <c r="G40" s="38">
        <v>0.5051</v>
      </c>
      <c r="H40" s="10">
        <v>14.0</v>
      </c>
      <c r="I40" s="38">
        <v>0.35</v>
      </c>
      <c r="J40" s="10" t="s">
        <v>40</v>
      </c>
    </row>
    <row r="41">
      <c r="A41" s="10" t="s">
        <v>6</v>
      </c>
      <c r="D41" s="10">
        <v>53.0</v>
      </c>
      <c r="E41" s="38">
        <v>0.1084</v>
      </c>
      <c r="F41" s="10">
        <v>14.0</v>
      </c>
      <c r="G41" s="38">
        <v>0.1414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14.0</v>
      </c>
      <c r="E42" s="38">
        <v>0.0286</v>
      </c>
      <c r="F42" s="10">
        <v>5.0</v>
      </c>
      <c r="G42" s="38">
        <v>0.0505</v>
      </c>
      <c r="H42" s="10">
        <v>5.0</v>
      </c>
      <c r="I42" s="38">
        <v>0.125</v>
      </c>
      <c r="J42" s="10" t="s">
        <v>40</v>
      </c>
    </row>
    <row r="43">
      <c r="A43" s="10" t="s">
        <v>80</v>
      </c>
      <c r="D43" s="10">
        <v>34.0</v>
      </c>
      <c r="E43" s="38">
        <v>0.0695</v>
      </c>
      <c r="F43" s="10">
        <v>8.0</v>
      </c>
      <c r="G43" s="38">
        <v>0.0808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6.0</v>
      </c>
      <c r="E44" s="38">
        <v>0.0123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7.0</v>
      </c>
      <c r="E45" s="38">
        <v>0.0143</v>
      </c>
      <c r="F45" s="10">
        <v>2.0</v>
      </c>
      <c r="G45" s="38">
        <v>0.0202</v>
      </c>
      <c r="H45" s="10">
        <v>2.0</v>
      </c>
      <c r="I45" s="38">
        <v>0.05</v>
      </c>
      <c r="J45" s="10" t="s">
        <v>40</v>
      </c>
      <c r="K45" s="10" t="s">
        <v>66</v>
      </c>
    </row>
    <row r="46">
      <c r="A46" s="10" t="s">
        <v>83</v>
      </c>
      <c r="D46" s="10">
        <v>0.02286340418</v>
      </c>
      <c r="E46" s="38">
        <v>0.0229</v>
      </c>
      <c r="F46" s="10">
        <v>-0.005015659766</v>
      </c>
      <c r="G46" s="38">
        <v>-0.005</v>
      </c>
      <c r="H46" s="10">
        <v>0.01481123236</v>
      </c>
      <c r="I46" s="38">
        <v>0.0148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205.0</v>
      </c>
      <c r="E5" s="38">
        <v>0.4192</v>
      </c>
      <c r="F5" s="10">
        <v>54.0</v>
      </c>
      <c r="G5" s="38">
        <v>0.5455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284.0</v>
      </c>
      <c r="E6" s="38">
        <v>0.5808</v>
      </c>
      <c r="F6" s="10">
        <v>45.0</v>
      </c>
      <c r="G6" s="38">
        <v>0.4545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234.0</v>
      </c>
      <c r="E7" s="38">
        <v>0.4785</v>
      </c>
      <c r="F7" s="10">
        <v>48.0</v>
      </c>
      <c r="G7" s="38">
        <v>0.4848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255.0</v>
      </c>
      <c r="E8" s="38">
        <v>0.5215</v>
      </c>
      <c r="F8" s="10">
        <v>53.0</v>
      </c>
      <c r="G8" s="38">
        <v>0.5354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216.0</v>
      </c>
      <c r="E9" s="38">
        <v>0.4417</v>
      </c>
      <c r="F9" s="10">
        <v>59.0</v>
      </c>
      <c r="G9" s="38">
        <v>0.596</v>
      </c>
      <c r="H9" s="10">
        <v>20.0</v>
      </c>
      <c r="I9" s="38">
        <v>0.5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53.0</v>
      </c>
      <c r="E11" s="38">
        <v>0.1084</v>
      </c>
      <c r="F11" s="10">
        <v>10.0</v>
      </c>
      <c r="G11" s="38">
        <v>0.101</v>
      </c>
      <c r="H11" s="10">
        <v>5.0</v>
      </c>
      <c r="I11" s="38">
        <v>0.125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202.0</v>
      </c>
      <c r="E12" s="38">
        <v>0.4131</v>
      </c>
      <c r="F12" s="10">
        <v>52.0</v>
      </c>
      <c r="G12" s="38">
        <v>0.5253</v>
      </c>
      <c r="H12" s="10">
        <v>23.0</v>
      </c>
      <c r="I12" s="38">
        <v>0.575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91.0</v>
      </c>
      <c r="E13" s="38">
        <v>0.1861</v>
      </c>
      <c r="F13" s="10">
        <v>23.0</v>
      </c>
      <c r="G13" s="38">
        <v>0.2323</v>
      </c>
      <c r="H13" s="10">
        <v>16.0</v>
      </c>
      <c r="I13" s="38">
        <v>0.4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53.0</v>
      </c>
      <c r="E14" s="38">
        <v>0.1084</v>
      </c>
      <c r="F14" s="10">
        <v>12.0</v>
      </c>
      <c r="G14" s="38">
        <v>0.1212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42.0</v>
      </c>
      <c r="E18" s="38">
        <v>0.0859</v>
      </c>
      <c r="F18" s="10">
        <v>8.0</v>
      </c>
      <c r="G18" s="38">
        <v>0.0808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23.0</v>
      </c>
      <c r="E19" s="38">
        <v>0.047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11.0</v>
      </c>
      <c r="E20" s="38">
        <v>0.0225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8.0</v>
      </c>
      <c r="G21" s="38">
        <v>0.0808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211.0</v>
      </c>
      <c r="E22" s="38">
        <v>0.4315</v>
      </c>
      <c r="F22" s="10">
        <v>38.0</v>
      </c>
      <c r="G22" s="38">
        <v>0.3838</v>
      </c>
      <c r="H22" s="10">
        <v>26.0</v>
      </c>
      <c r="I22" s="38">
        <v>0.65</v>
      </c>
      <c r="J22" s="10" t="s">
        <v>40</v>
      </c>
    </row>
    <row r="23">
      <c r="A23" s="10" t="s">
        <v>64</v>
      </c>
      <c r="D23" s="10">
        <v>239.0</v>
      </c>
      <c r="E23" s="38">
        <v>0.4888</v>
      </c>
      <c r="F23" s="10">
        <v>49.0</v>
      </c>
      <c r="G23" s="38">
        <v>0.4949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85.0</v>
      </c>
      <c r="E24" s="38">
        <v>0.1738</v>
      </c>
      <c r="F24" s="10">
        <v>13.0</v>
      </c>
      <c r="G24" s="38">
        <v>0.1313</v>
      </c>
      <c r="H24" s="10">
        <v>4.0</v>
      </c>
      <c r="I24" s="38">
        <v>0.1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106.0</v>
      </c>
      <c r="E25" s="38">
        <v>0.2168</v>
      </c>
      <c r="F25" s="10">
        <v>35.0</v>
      </c>
      <c r="G25" s="38">
        <v>0.3535</v>
      </c>
      <c r="H25" s="10">
        <v>23.0</v>
      </c>
      <c r="I25" s="38">
        <v>0.575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128.0</v>
      </c>
      <c r="E26" s="38">
        <v>0.2618</v>
      </c>
      <c r="F26" s="10">
        <v>14.0</v>
      </c>
      <c r="G26" s="38">
        <v>0.1414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53.0</v>
      </c>
      <c r="E27" s="38">
        <v>0.1084</v>
      </c>
      <c r="F27" s="10">
        <v>8.0</v>
      </c>
      <c r="G27" s="38">
        <v>0.0808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105.0</v>
      </c>
      <c r="E28" s="38">
        <v>0.2147</v>
      </c>
      <c r="F28" s="10">
        <v>13.0</v>
      </c>
      <c r="G28" s="38">
        <v>0.1313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11.0</v>
      </c>
      <c r="E29" s="38">
        <v>0.0225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137.0</v>
      </c>
      <c r="E32" s="38">
        <v>0.2802</v>
      </c>
      <c r="F32" s="10">
        <v>26.0</v>
      </c>
      <c r="G32" s="38">
        <v>0.2626</v>
      </c>
      <c r="H32" s="10">
        <v>6.0</v>
      </c>
      <c r="I32" s="38">
        <v>0.15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11.0</v>
      </c>
      <c r="E33" s="38">
        <v>0.0225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25.0</v>
      </c>
      <c r="E36" s="38">
        <v>0.0511</v>
      </c>
      <c r="F36" s="10">
        <v>3.0</v>
      </c>
      <c r="G36" s="38">
        <v>0.0303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280.0</v>
      </c>
      <c r="E37" s="38">
        <v>0.5726</v>
      </c>
      <c r="F37" s="10">
        <v>47.0</v>
      </c>
      <c r="G37" s="38">
        <v>0.4747</v>
      </c>
      <c r="H37" s="10">
        <v>26.0</v>
      </c>
      <c r="I37" s="38">
        <v>0.65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161.0</v>
      </c>
      <c r="E38" s="38">
        <v>0.3292</v>
      </c>
      <c r="F38" s="10">
        <v>26.0</v>
      </c>
      <c r="G38" s="38">
        <v>0.2626</v>
      </c>
      <c r="H38" s="10">
        <v>9.0</v>
      </c>
      <c r="I38" s="38">
        <v>0.225</v>
      </c>
      <c r="J38" s="10" t="s">
        <v>40</v>
      </c>
      <c r="K38" s="10" t="s">
        <v>43</v>
      </c>
    </row>
    <row r="39">
      <c r="A39" s="10" t="s">
        <v>78</v>
      </c>
      <c r="D39" s="10">
        <v>5.0</v>
      </c>
      <c r="E39" s="38">
        <v>0.0102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200.0</v>
      </c>
      <c r="E40" s="38">
        <v>0.409</v>
      </c>
      <c r="F40" s="10">
        <v>54.0</v>
      </c>
      <c r="G40" s="38">
        <v>0.5455</v>
      </c>
      <c r="H40" s="10">
        <v>15.0</v>
      </c>
      <c r="I40" s="38">
        <v>0.375</v>
      </c>
      <c r="J40" s="10" t="s">
        <v>40</v>
      </c>
    </row>
    <row r="41">
      <c r="A41" s="10" t="s">
        <v>6</v>
      </c>
      <c r="D41" s="10">
        <v>56.0</v>
      </c>
      <c r="E41" s="38">
        <v>0.1145</v>
      </c>
      <c r="F41" s="10">
        <v>15.0</v>
      </c>
      <c r="G41" s="38">
        <v>0.1515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16.0</v>
      </c>
      <c r="E42" s="38">
        <v>0.0327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37.0</v>
      </c>
      <c r="E43" s="38">
        <v>0.0757</v>
      </c>
      <c r="F43" s="10">
        <v>7.0</v>
      </c>
      <c r="G43" s="38">
        <v>0.0707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6.0</v>
      </c>
      <c r="E44" s="38">
        <v>0.0123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8.0</v>
      </c>
      <c r="E45" s="38">
        <v>0.0164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0.02170522057</v>
      </c>
      <c r="E46" s="38">
        <v>0.0217</v>
      </c>
      <c r="F46" s="10">
        <v>-0.006507393247</v>
      </c>
      <c r="G46" s="38">
        <v>-0.0065</v>
      </c>
      <c r="H46" s="10">
        <v>0.0132160925</v>
      </c>
      <c r="I46" s="38">
        <v>0.0132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215.0</v>
      </c>
      <c r="E5" s="38">
        <v>0.4397</v>
      </c>
      <c r="F5" s="10">
        <v>56.0</v>
      </c>
      <c r="G5" s="38">
        <v>0.5657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274.0</v>
      </c>
      <c r="E6" s="38">
        <v>0.5603</v>
      </c>
      <c r="F6" s="10">
        <v>43.0</v>
      </c>
      <c r="G6" s="38">
        <v>0.4343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262.0</v>
      </c>
      <c r="E7" s="38">
        <v>0.5358</v>
      </c>
      <c r="F7" s="10">
        <v>46.0</v>
      </c>
      <c r="G7" s="38">
        <v>0.4646</v>
      </c>
      <c r="H7" s="10">
        <v>7.0</v>
      </c>
      <c r="I7" s="38">
        <v>0.175</v>
      </c>
      <c r="J7" s="10" t="s">
        <v>40</v>
      </c>
      <c r="L7" s="10">
        <v>1.0</v>
      </c>
    </row>
    <row r="8">
      <c r="A8" s="10" t="s">
        <v>48</v>
      </c>
      <c r="D8" s="10">
        <v>227.0</v>
      </c>
      <c r="E8" s="38">
        <v>0.4642</v>
      </c>
      <c r="F8" s="10">
        <v>55.0</v>
      </c>
      <c r="G8" s="38">
        <v>0.5556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216.0</v>
      </c>
      <c r="E9" s="38">
        <v>0.4417</v>
      </c>
      <c r="F9" s="10">
        <v>58.0</v>
      </c>
      <c r="G9" s="38">
        <v>0.5859</v>
      </c>
      <c r="H9" s="10">
        <v>19.0</v>
      </c>
      <c r="I9" s="38">
        <v>0.475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53.0</v>
      </c>
      <c r="E11" s="38">
        <v>0.1084</v>
      </c>
      <c r="F11" s="10">
        <v>16.0</v>
      </c>
      <c r="G11" s="38">
        <v>0.1616</v>
      </c>
      <c r="H11" s="10">
        <v>6.0</v>
      </c>
      <c r="I11" s="38">
        <v>0.15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204.0</v>
      </c>
      <c r="E12" s="38">
        <v>0.4172</v>
      </c>
      <c r="F12" s="10">
        <v>49.0</v>
      </c>
      <c r="G12" s="38">
        <v>0.4949</v>
      </c>
      <c r="H12" s="10">
        <v>14.0</v>
      </c>
      <c r="I12" s="38">
        <v>0.35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89.0</v>
      </c>
      <c r="E13" s="38">
        <v>0.182</v>
      </c>
      <c r="F13" s="10">
        <v>21.0</v>
      </c>
      <c r="G13" s="38">
        <v>0.2121</v>
      </c>
      <c r="H13" s="10">
        <v>14.0</v>
      </c>
      <c r="I13" s="38">
        <v>0.35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66.0</v>
      </c>
      <c r="E14" s="38">
        <v>0.135</v>
      </c>
      <c r="F14" s="10">
        <v>14.0</v>
      </c>
      <c r="G14" s="38">
        <v>0.1414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27.0</v>
      </c>
      <c r="E18" s="38">
        <v>0.0552</v>
      </c>
      <c r="F18" s="10">
        <v>2.0</v>
      </c>
      <c r="G18" s="38">
        <v>0.0202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76.0</v>
      </c>
      <c r="E19" s="38">
        <v>0.1554</v>
      </c>
      <c r="F19" s="10">
        <v>7.0</v>
      </c>
      <c r="G19" s="38">
        <v>0.0707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9.0</v>
      </c>
      <c r="E21" s="38">
        <v>0.0184</v>
      </c>
      <c r="F21" s="10">
        <v>2.0</v>
      </c>
      <c r="G21" s="38">
        <v>0.0202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207.0</v>
      </c>
      <c r="E22" s="38">
        <v>0.4233</v>
      </c>
      <c r="F22" s="10">
        <v>42.0</v>
      </c>
      <c r="G22" s="38">
        <v>0.4242</v>
      </c>
      <c r="H22" s="10">
        <v>25.0</v>
      </c>
      <c r="I22" s="38">
        <v>0.625</v>
      </c>
      <c r="J22" s="10" t="s">
        <v>40</v>
      </c>
    </row>
    <row r="23">
      <c r="A23" s="10" t="s">
        <v>64</v>
      </c>
      <c r="D23" s="10">
        <v>248.0</v>
      </c>
      <c r="E23" s="38">
        <v>0.5072</v>
      </c>
      <c r="F23" s="10">
        <v>50.0</v>
      </c>
      <c r="G23" s="38">
        <v>0.5051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95.0</v>
      </c>
      <c r="E24" s="38">
        <v>0.1943</v>
      </c>
      <c r="F24" s="10">
        <v>19.0</v>
      </c>
      <c r="G24" s="38">
        <v>0.1919</v>
      </c>
      <c r="H24" s="10">
        <v>11.0</v>
      </c>
      <c r="I24" s="38">
        <v>0.275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98.0</v>
      </c>
      <c r="E25" s="38">
        <v>0.2004</v>
      </c>
      <c r="F25" s="10">
        <v>30.0</v>
      </c>
      <c r="G25" s="38">
        <v>0.303</v>
      </c>
      <c r="H25" s="10">
        <v>14.0</v>
      </c>
      <c r="I25" s="38">
        <v>0.35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127.0</v>
      </c>
      <c r="E26" s="38">
        <v>0.2597</v>
      </c>
      <c r="F26" s="10">
        <v>14.0</v>
      </c>
      <c r="G26" s="38">
        <v>0.1414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53.0</v>
      </c>
      <c r="E27" s="38">
        <v>0.1084</v>
      </c>
      <c r="F27" s="10">
        <v>10.0</v>
      </c>
      <c r="G27" s="38">
        <v>0.101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101.0</v>
      </c>
      <c r="E28" s="38">
        <v>0.2065</v>
      </c>
      <c r="F28" s="10">
        <v>18.0</v>
      </c>
      <c r="G28" s="38">
        <v>0.1818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9.0</v>
      </c>
      <c r="E29" s="38">
        <v>0.0184</v>
      </c>
      <c r="F29" s="10">
        <v>0.0</v>
      </c>
      <c r="G29" s="38">
        <v>0.0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121.0</v>
      </c>
      <c r="E32" s="38">
        <v>0.2474</v>
      </c>
      <c r="F32" s="10">
        <v>26.0</v>
      </c>
      <c r="G32" s="38">
        <v>0.2626</v>
      </c>
      <c r="H32" s="10">
        <v>6.0</v>
      </c>
      <c r="I32" s="38">
        <v>0.15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9.0</v>
      </c>
      <c r="E33" s="38">
        <v>0.0184</v>
      </c>
      <c r="F33" s="10">
        <v>0.0</v>
      </c>
      <c r="G33" s="38">
        <v>0.0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27.0</v>
      </c>
      <c r="E36" s="38">
        <v>0.0552</v>
      </c>
      <c r="F36" s="10">
        <v>5.0</v>
      </c>
      <c r="G36" s="38">
        <v>0.0505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280.0</v>
      </c>
      <c r="E37" s="38">
        <v>0.5726</v>
      </c>
      <c r="F37" s="10">
        <v>54.0</v>
      </c>
      <c r="G37" s="38">
        <v>0.5455</v>
      </c>
      <c r="H37" s="10">
        <v>27.0</v>
      </c>
      <c r="I37" s="38">
        <v>0.675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150.0</v>
      </c>
      <c r="E38" s="38">
        <v>0.3067</v>
      </c>
      <c r="F38" s="10">
        <v>29.0</v>
      </c>
      <c r="G38" s="38">
        <v>0.2929</v>
      </c>
      <c r="H38" s="10">
        <v>11.0</v>
      </c>
      <c r="I38" s="38">
        <v>0.275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0.0</v>
      </c>
      <c r="G39" s="38">
        <v>0.0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201.0</v>
      </c>
      <c r="E40" s="38">
        <v>0.411</v>
      </c>
      <c r="F40" s="10">
        <v>46.0</v>
      </c>
      <c r="G40" s="38">
        <v>0.4646</v>
      </c>
      <c r="H40" s="10">
        <v>14.0</v>
      </c>
      <c r="I40" s="38">
        <v>0.35</v>
      </c>
      <c r="J40" s="10" t="s">
        <v>40</v>
      </c>
    </row>
    <row r="41">
      <c r="A41" s="10" t="s">
        <v>6</v>
      </c>
      <c r="D41" s="10">
        <v>59.0</v>
      </c>
      <c r="E41" s="38">
        <v>0.1207</v>
      </c>
      <c r="F41" s="10">
        <v>15.0</v>
      </c>
      <c r="G41" s="38">
        <v>0.1515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10.0</v>
      </c>
      <c r="E42" s="38">
        <v>0.0204</v>
      </c>
      <c r="F42" s="10">
        <v>0.0</v>
      </c>
      <c r="G42" s="38">
        <v>0.0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25.0</v>
      </c>
      <c r="E43" s="38">
        <v>0.0511</v>
      </c>
      <c r="F43" s="10">
        <v>3.0</v>
      </c>
      <c r="G43" s="38">
        <v>0.0303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6.0</v>
      </c>
      <c r="E44" s="38">
        <v>0.0123</v>
      </c>
      <c r="F44" s="10">
        <v>1.0</v>
      </c>
      <c r="G44" s="38">
        <v>0.0101</v>
      </c>
      <c r="H44" s="10">
        <v>1.0</v>
      </c>
      <c r="I44" s="38">
        <v>0.025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6.0</v>
      </c>
      <c r="E45" s="38">
        <v>0.0123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0.0229599687</v>
      </c>
      <c r="E46" s="38">
        <v>0.023</v>
      </c>
      <c r="F46" s="10">
        <v>0.006028530781</v>
      </c>
      <c r="G46" s="38">
        <v>0.006</v>
      </c>
      <c r="H46" s="10">
        <v>0.02127245829</v>
      </c>
      <c r="I46" s="38">
        <v>0.0213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235.0</v>
      </c>
      <c r="E5" s="38">
        <v>0.4806</v>
      </c>
      <c r="F5" s="10">
        <v>61.0</v>
      </c>
      <c r="G5" s="38">
        <v>0.6162</v>
      </c>
      <c r="H5" s="10">
        <v>22.0</v>
      </c>
      <c r="I5" s="38">
        <v>0.55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254.0</v>
      </c>
      <c r="E6" s="38">
        <v>0.5194</v>
      </c>
      <c r="F6" s="10">
        <v>38.0</v>
      </c>
      <c r="G6" s="38">
        <v>0.3838</v>
      </c>
      <c r="H6" s="10">
        <v>11.0</v>
      </c>
      <c r="I6" s="38">
        <v>0.275</v>
      </c>
      <c r="J6" s="10" t="s">
        <v>40</v>
      </c>
    </row>
    <row r="7">
      <c r="A7" s="10" t="s">
        <v>47</v>
      </c>
      <c r="D7" s="10">
        <v>339.0</v>
      </c>
      <c r="E7" s="38">
        <v>0.6933</v>
      </c>
      <c r="F7" s="10">
        <v>63.0</v>
      </c>
      <c r="G7" s="38">
        <v>0.6364</v>
      </c>
      <c r="H7" s="10">
        <v>29.0</v>
      </c>
      <c r="I7" s="38">
        <v>0.725</v>
      </c>
      <c r="J7" s="10" t="s">
        <v>40</v>
      </c>
      <c r="L7" s="10">
        <v>1.0</v>
      </c>
    </row>
    <row r="8">
      <c r="A8" s="10" t="s">
        <v>48</v>
      </c>
      <c r="D8" s="10">
        <v>150.0</v>
      </c>
      <c r="E8" s="38">
        <v>0.3067</v>
      </c>
      <c r="F8" s="10">
        <v>38.0</v>
      </c>
      <c r="G8" s="38">
        <v>0.3838</v>
      </c>
      <c r="H8" s="10">
        <v>4.0</v>
      </c>
      <c r="I8" s="38">
        <v>0.1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222.0</v>
      </c>
      <c r="E9" s="38">
        <v>0.454</v>
      </c>
      <c r="F9" s="10">
        <v>57.0</v>
      </c>
      <c r="G9" s="38">
        <v>0.5758</v>
      </c>
      <c r="H9" s="10">
        <v>20.0</v>
      </c>
      <c r="I9" s="38">
        <v>0.5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0.09</v>
      </c>
      <c r="F11" s="10">
        <v>12.0</v>
      </c>
      <c r="G11" s="38">
        <v>0.1212</v>
      </c>
      <c r="H11" s="10">
        <v>4.0</v>
      </c>
      <c r="I11" s="38">
        <v>0.1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222.0</v>
      </c>
      <c r="E12" s="38">
        <v>0.454</v>
      </c>
      <c r="F12" s="10">
        <v>59.0</v>
      </c>
      <c r="G12" s="38">
        <v>0.596</v>
      </c>
      <c r="H12" s="10">
        <v>24.0</v>
      </c>
      <c r="I12" s="38">
        <v>0.6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90.0</v>
      </c>
      <c r="E13" s="38">
        <v>0.184</v>
      </c>
      <c r="F13" s="10">
        <v>22.0</v>
      </c>
      <c r="G13" s="38">
        <v>0.2222</v>
      </c>
      <c r="H13" s="10">
        <v>17.0</v>
      </c>
      <c r="I13" s="38">
        <v>0.425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64.0</v>
      </c>
      <c r="E14" s="38">
        <v>0.1309</v>
      </c>
      <c r="F14" s="10">
        <v>13.0</v>
      </c>
      <c r="G14" s="38">
        <v>0.1313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42.0</v>
      </c>
      <c r="E18" s="38">
        <v>0.0859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25.0</v>
      </c>
      <c r="E19" s="38">
        <v>0.0511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8.0</v>
      </c>
      <c r="E20" s="38">
        <v>0.0164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198.0</v>
      </c>
      <c r="E22" s="38">
        <v>0.4049</v>
      </c>
      <c r="F22" s="10">
        <v>38.0</v>
      </c>
      <c r="G22" s="38">
        <v>0.3838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251.0</v>
      </c>
      <c r="E23" s="38">
        <v>0.5133</v>
      </c>
      <c r="F23" s="10">
        <v>52.0</v>
      </c>
      <c r="G23" s="38">
        <v>0.5253</v>
      </c>
      <c r="H23" s="10">
        <v>13.0</v>
      </c>
      <c r="I23" s="38">
        <v>0.325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98.0</v>
      </c>
      <c r="E24" s="38">
        <v>0.2004</v>
      </c>
      <c r="F24" s="10">
        <v>21.0</v>
      </c>
      <c r="G24" s="38">
        <v>0.2121</v>
      </c>
      <c r="H24" s="10">
        <v>4.0</v>
      </c>
      <c r="I24" s="38">
        <v>0.1</v>
      </c>
      <c r="J24" s="10" t="s">
        <v>40</v>
      </c>
      <c r="K24" s="10" t="s">
        <v>79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100.0</v>
      </c>
      <c r="E25" s="38">
        <v>0.2045</v>
      </c>
      <c r="F25" s="10">
        <v>38.0</v>
      </c>
      <c r="G25" s="38">
        <v>0.3838</v>
      </c>
      <c r="H25" s="10">
        <v>22.0</v>
      </c>
      <c r="I25" s="38">
        <v>0.55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119.0</v>
      </c>
      <c r="E26" s="38">
        <v>0.2434</v>
      </c>
      <c r="F26" s="10">
        <v>18.0</v>
      </c>
      <c r="G26" s="38">
        <v>0.1818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46.0</v>
      </c>
      <c r="E27" s="38">
        <v>0.0941</v>
      </c>
      <c r="F27" s="10">
        <v>11.0</v>
      </c>
      <c r="G27" s="38">
        <v>0.1111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85.0</v>
      </c>
      <c r="E28" s="38">
        <v>0.1738</v>
      </c>
      <c r="F28" s="10">
        <v>9.0</v>
      </c>
      <c r="G28" s="38">
        <v>0.0909</v>
      </c>
      <c r="H28" s="10">
        <v>0.0</v>
      </c>
      <c r="I28" s="38">
        <v>0.0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9.0</v>
      </c>
      <c r="E29" s="38">
        <v>0.0184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117.0</v>
      </c>
      <c r="E32" s="38">
        <v>0.2393</v>
      </c>
      <c r="F32" s="10">
        <v>24.0</v>
      </c>
      <c r="G32" s="38">
        <v>0.2424</v>
      </c>
      <c r="H32" s="10">
        <v>5.0</v>
      </c>
      <c r="I32" s="38">
        <v>0.125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9.0</v>
      </c>
      <c r="E33" s="38">
        <v>0.0184</v>
      </c>
      <c r="F33" s="10">
        <v>1.0</v>
      </c>
      <c r="G33" s="38">
        <v>0.0101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31.0</v>
      </c>
      <c r="E36" s="38">
        <v>0.0634</v>
      </c>
      <c r="F36" s="10">
        <v>6.0</v>
      </c>
      <c r="G36" s="38">
        <v>0.0606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269.0</v>
      </c>
      <c r="E37" s="38">
        <v>0.5501</v>
      </c>
      <c r="F37" s="10">
        <v>43.0</v>
      </c>
      <c r="G37" s="38">
        <v>0.4343</v>
      </c>
      <c r="H37" s="10">
        <v>25.0</v>
      </c>
      <c r="I37" s="38">
        <v>0.625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142.0</v>
      </c>
      <c r="E38" s="38">
        <v>0.2904</v>
      </c>
      <c r="F38" s="10">
        <v>22.0</v>
      </c>
      <c r="G38" s="38">
        <v>0.2222</v>
      </c>
      <c r="H38" s="10">
        <v>5.0</v>
      </c>
      <c r="I38" s="38">
        <v>0.125</v>
      </c>
      <c r="J38" s="10" t="s">
        <v>40</v>
      </c>
      <c r="K38" s="10" t="s">
        <v>43</v>
      </c>
    </row>
    <row r="39">
      <c r="A39" s="10" t="s">
        <v>78</v>
      </c>
      <c r="D39" s="10">
        <v>4.0</v>
      </c>
      <c r="E39" s="38">
        <v>0.0082</v>
      </c>
      <c r="F39" s="10">
        <v>0.0</v>
      </c>
      <c r="G39" s="38">
        <v>0.0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213.0</v>
      </c>
      <c r="E40" s="38">
        <v>0.4356</v>
      </c>
      <c r="F40" s="10">
        <v>56.0</v>
      </c>
      <c r="G40" s="38">
        <v>0.5657</v>
      </c>
      <c r="H40" s="10">
        <v>16.0</v>
      </c>
      <c r="I40" s="38">
        <v>0.4</v>
      </c>
      <c r="J40" s="10" t="s">
        <v>40</v>
      </c>
    </row>
    <row r="41">
      <c r="A41" s="10" t="s">
        <v>6</v>
      </c>
      <c r="D41" s="10">
        <v>59.0</v>
      </c>
      <c r="E41" s="38">
        <v>0.1207</v>
      </c>
      <c r="F41" s="10">
        <v>14.0</v>
      </c>
      <c r="G41" s="38">
        <v>0.1414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15.0</v>
      </c>
      <c r="E42" s="38">
        <v>0.0307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22.0</v>
      </c>
      <c r="E43" s="38">
        <v>0.045</v>
      </c>
      <c r="F43" s="10">
        <v>1.0</v>
      </c>
      <c r="G43" s="38">
        <v>0.0101</v>
      </c>
      <c r="H43" s="10">
        <v>0.0</v>
      </c>
      <c r="I43" s="38">
        <v>0.0</v>
      </c>
      <c r="J43" s="10" t="s">
        <v>40</v>
      </c>
    </row>
    <row r="44">
      <c r="A44" s="10" t="s">
        <v>10</v>
      </c>
      <c r="D44" s="10">
        <v>8.0</v>
      </c>
      <c r="E44" s="38">
        <v>0.0164</v>
      </c>
      <c r="F44" s="10">
        <v>0.0</v>
      </c>
      <c r="G44" s="38">
        <v>0.0</v>
      </c>
      <c r="H44" s="10">
        <v>1.0</v>
      </c>
      <c r="I44" s="38">
        <v>0.025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0.0</v>
      </c>
      <c r="G45" s="38">
        <v>0.0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0.01792930373</v>
      </c>
      <c r="E46" s="38">
        <v>0.0179</v>
      </c>
      <c r="F46" s="10">
        <v>-0.009121526826</v>
      </c>
      <c r="G46" s="38">
        <v>-0.0091</v>
      </c>
      <c r="H46" s="10">
        <v>0.01676576341</v>
      </c>
      <c r="I46" s="38">
        <v>0.0168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225.0</v>
      </c>
      <c r="E3" s="38">
        <v>0.4601</v>
      </c>
      <c r="F3" s="10">
        <v>48.0</v>
      </c>
      <c r="G3" s="38">
        <v>0.4848</v>
      </c>
      <c r="H3" s="10">
        <v>22.0</v>
      </c>
      <c r="I3" s="38">
        <v>0.55</v>
      </c>
      <c r="J3" s="10" t="s">
        <v>40</v>
      </c>
      <c r="K3" s="10" t="s">
        <v>43</v>
      </c>
    </row>
    <row r="4">
      <c r="A4" s="10" t="s">
        <v>44</v>
      </c>
      <c r="B4" s="10">
        <v>0.0</v>
      </c>
      <c r="C4" s="38">
        <v>0.0</v>
      </c>
      <c r="D4" s="10">
        <v>259.0</v>
      </c>
      <c r="E4" s="38">
        <v>0.5297</v>
      </c>
      <c r="F4" s="10">
        <v>51.0</v>
      </c>
      <c r="G4" s="38">
        <v>0.5152</v>
      </c>
      <c r="H4" s="10">
        <v>11.0</v>
      </c>
      <c r="I4" s="38">
        <v>0.275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234.0</v>
      </c>
      <c r="E5" s="38">
        <v>0.4785</v>
      </c>
      <c r="F5" s="10">
        <v>60.0</v>
      </c>
      <c r="G5" s="38">
        <v>0.6061</v>
      </c>
      <c r="H5" s="10">
        <v>22.0</v>
      </c>
      <c r="I5" s="38">
        <v>0.55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255.0</v>
      </c>
      <c r="E6" s="38">
        <v>0.5215</v>
      </c>
      <c r="F6" s="10">
        <v>39.0</v>
      </c>
      <c r="G6" s="38">
        <v>0.3939</v>
      </c>
      <c r="H6" s="10">
        <v>11.0</v>
      </c>
      <c r="I6" s="38">
        <v>0.275</v>
      </c>
      <c r="J6" s="10" t="s">
        <v>40</v>
      </c>
    </row>
    <row r="7">
      <c r="A7" s="10" t="s">
        <v>47</v>
      </c>
      <c r="D7" s="10">
        <v>377.0</v>
      </c>
      <c r="E7" s="38">
        <v>0.771</v>
      </c>
      <c r="F7" s="10">
        <v>72.0</v>
      </c>
      <c r="G7" s="38">
        <v>0.7273</v>
      </c>
      <c r="H7" s="10">
        <v>29.0</v>
      </c>
      <c r="I7" s="38">
        <v>0.725</v>
      </c>
      <c r="J7" s="10" t="s">
        <v>40</v>
      </c>
      <c r="L7" s="10">
        <v>1.0</v>
      </c>
    </row>
    <row r="8">
      <c r="A8" s="10" t="s">
        <v>48</v>
      </c>
      <c r="D8" s="10">
        <v>112.0</v>
      </c>
      <c r="E8" s="38">
        <v>0.229</v>
      </c>
      <c r="F8" s="10">
        <v>29.0</v>
      </c>
      <c r="G8" s="38">
        <v>0.2929</v>
      </c>
      <c r="H8" s="10">
        <v>4.0</v>
      </c>
      <c r="I8" s="38">
        <v>0.1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218.0</v>
      </c>
      <c r="E9" s="38">
        <v>0.4458</v>
      </c>
      <c r="F9" s="10">
        <v>54.0</v>
      </c>
      <c r="G9" s="38">
        <v>0.5455</v>
      </c>
      <c r="H9" s="10">
        <v>21.0</v>
      </c>
      <c r="I9" s="38">
        <v>0.525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40.0</v>
      </c>
      <c r="E11" s="38">
        <v>0.0818</v>
      </c>
      <c r="F11" s="10">
        <v>12.0</v>
      </c>
      <c r="G11" s="38">
        <v>0.1212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216.0</v>
      </c>
      <c r="E12" s="38">
        <v>0.4417</v>
      </c>
      <c r="F12" s="10">
        <v>57.0</v>
      </c>
      <c r="G12" s="38">
        <v>0.5758</v>
      </c>
      <c r="H12" s="10">
        <v>22.0</v>
      </c>
      <c r="I12" s="38">
        <v>0.55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81.0</v>
      </c>
      <c r="E13" s="38">
        <v>0.1656</v>
      </c>
      <c r="F13" s="10">
        <v>19.0</v>
      </c>
      <c r="G13" s="38">
        <v>0.1919</v>
      </c>
      <c r="H13" s="10">
        <v>16.0</v>
      </c>
      <c r="I13" s="38">
        <v>0.4</v>
      </c>
      <c r="J13" s="10" t="s">
        <v>40</v>
      </c>
      <c r="L13" s="10">
        <v>1.0</v>
      </c>
    </row>
    <row r="14">
      <c r="A14" s="10" t="s">
        <v>55</v>
      </c>
      <c r="B14" s="10">
        <v>0.0</v>
      </c>
      <c r="C14" s="38">
        <v>0.0</v>
      </c>
      <c r="D14" s="10">
        <v>65.0</v>
      </c>
      <c r="E14" s="38">
        <v>0.1329</v>
      </c>
      <c r="F14" s="10">
        <v>15.0</v>
      </c>
      <c r="G14" s="38">
        <v>0.1515</v>
      </c>
      <c r="H14" s="10">
        <v>5.0</v>
      </c>
      <c r="I14" s="38">
        <v>0.125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232.0</v>
      </c>
      <c r="E15" s="38">
        <v>0.4744</v>
      </c>
      <c r="F15" s="10">
        <v>61.0</v>
      </c>
      <c r="G15" s="38">
        <v>0.6162</v>
      </c>
      <c r="H15" s="10">
        <v>23.0</v>
      </c>
      <c r="I15" s="38">
        <v>0.575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52.0</v>
      </c>
      <c r="E16" s="38">
        <v>0.1063</v>
      </c>
      <c r="F16" s="10">
        <v>6.0</v>
      </c>
      <c r="G16" s="38">
        <v>0.0606</v>
      </c>
      <c r="H16" s="10">
        <v>2.0</v>
      </c>
      <c r="I16" s="38">
        <v>0.05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23.0</v>
      </c>
      <c r="E17" s="38">
        <v>0.047</v>
      </c>
      <c r="F17" s="10">
        <v>4.0</v>
      </c>
      <c r="G17" s="38">
        <v>0.0404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39.0</v>
      </c>
      <c r="E18" s="38">
        <v>0.0798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25.0</v>
      </c>
      <c r="E19" s="38">
        <v>0.0511</v>
      </c>
      <c r="F19" s="10">
        <v>4.0</v>
      </c>
      <c r="G19" s="38">
        <v>0.0404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10.0</v>
      </c>
      <c r="E20" s="38">
        <v>0.0204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192.0</v>
      </c>
      <c r="E22" s="38">
        <v>0.3926</v>
      </c>
      <c r="F22" s="10">
        <v>41.0</v>
      </c>
      <c r="G22" s="38">
        <v>0.4141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264.0</v>
      </c>
      <c r="E23" s="38">
        <v>0.5399</v>
      </c>
      <c r="F23" s="10">
        <v>52.0</v>
      </c>
      <c r="G23" s="38">
        <v>0.5253</v>
      </c>
      <c r="H23" s="10">
        <v>10.0</v>
      </c>
      <c r="I23" s="38">
        <v>0.25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88.0</v>
      </c>
      <c r="E24" s="38">
        <v>0.18</v>
      </c>
      <c r="F24" s="10">
        <v>18.0</v>
      </c>
      <c r="G24" s="38">
        <v>0.1818</v>
      </c>
      <c r="H24" s="10">
        <v>2.0</v>
      </c>
      <c r="I24" s="38">
        <v>0.05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85.0</v>
      </c>
      <c r="E25" s="38">
        <v>0.1738</v>
      </c>
      <c r="F25" s="10">
        <v>30.0</v>
      </c>
      <c r="G25" s="38">
        <v>0.303</v>
      </c>
      <c r="H25" s="10">
        <v>23.0</v>
      </c>
      <c r="I25" s="38">
        <v>0.575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96.0</v>
      </c>
      <c r="E26" s="38">
        <v>0.1963</v>
      </c>
      <c r="F26" s="10">
        <v>14.0</v>
      </c>
      <c r="G26" s="38">
        <v>0.1414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48.0</v>
      </c>
      <c r="E27" s="38">
        <v>0.0982</v>
      </c>
      <c r="F27" s="10">
        <v>12.0</v>
      </c>
      <c r="G27" s="38">
        <v>0.1212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86.0</v>
      </c>
      <c r="E28" s="38">
        <v>0.1759</v>
      </c>
      <c r="F28" s="10">
        <v>12.0</v>
      </c>
      <c r="G28" s="38">
        <v>0.1212</v>
      </c>
      <c r="H28" s="10">
        <v>1.0</v>
      </c>
      <c r="I28" s="38">
        <v>0.025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9.0</v>
      </c>
      <c r="E29" s="38">
        <v>0.0184</v>
      </c>
      <c r="F29" s="10">
        <v>4.0</v>
      </c>
      <c r="G29" s="38">
        <v>0.0404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82.0</v>
      </c>
      <c r="E30" s="38">
        <v>0.1677</v>
      </c>
      <c r="F30" s="10">
        <v>11.0</v>
      </c>
      <c r="G30" s="38">
        <v>0.1111</v>
      </c>
      <c r="H30" s="10">
        <v>0.0</v>
      </c>
      <c r="I30" s="38">
        <v>0.0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12.0</v>
      </c>
      <c r="E31" s="38">
        <v>0.0245</v>
      </c>
      <c r="F31" s="10">
        <v>3.0</v>
      </c>
      <c r="G31" s="38">
        <v>0.0303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103.0</v>
      </c>
      <c r="E32" s="38">
        <v>0.2106</v>
      </c>
      <c r="F32" s="10">
        <v>21.0</v>
      </c>
      <c r="G32" s="38">
        <v>0.2121</v>
      </c>
      <c r="H32" s="10">
        <v>7.0</v>
      </c>
      <c r="I32" s="38">
        <v>0.175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9.0</v>
      </c>
      <c r="E33" s="38">
        <v>0.0184</v>
      </c>
      <c r="F33" s="10">
        <v>2.0</v>
      </c>
      <c r="G33" s="38">
        <v>0.0202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118.0</v>
      </c>
      <c r="E34" s="38">
        <v>0.2413</v>
      </c>
      <c r="F34" s="10">
        <v>23.0</v>
      </c>
      <c r="G34" s="38">
        <v>0.2323</v>
      </c>
      <c r="H34" s="10">
        <v>3.0</v>
      </c>
      <c r="I34" s="38">
        <v>0.075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12.0</v>
      </c>
      <c r="E35" s="38">
        <v>0.0245</v>
      </c>
      <c r="F35" s="10">
        <v>2.0</v>
      </c>
      <c r="G35" s="38">
        <v>0.0202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32.0</v>
      </c>
      <c r="E36" s="38">
        <v>0.0654</v>
      </c>
      <c r="F36" s="10">
        <v>8.0</v>
      </c>
      <c r="G36" s="38">
        <v>0.0808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266.0</v>
      </c>
      <c r="E37" s="38">
        <v>0.544</v>
      </c>
      <c r="F37" s="10">
        <v>49.0</v>
      </c>
      <c r="G37" s="38">
        <v>0.4949</v>
      </c>
      <c r="H37" s="10">
        <v>28.0</v>
      </c>
      <c r="I37" s="38">
        <v>0.7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133.0</v>
      </c>
      <c r="E38" s="38">
        <v>0.272</v>
      </c>
      <c r="F38" s="10">
        <v>23.0</v>
      </c>
      <c r="G38" s="38">
        <v>0.2323</v>
      </c>
      <c r="H38" s="10">
        <v>5.0</v>
      </c>
      <c r="I38" s="38">
        <v>0.125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216.0</v>
      </c>
      <c r="E40" s="38">
        <v>0.4417</v>
      </c>
      <c r="F40" s="10">
        <v>51.0</v>
      </c>
      <c r="G40" s="38">
        <v>0.5152</v>
      </c>
      <c r="H40" s="10">
        <v>13.0</v>
      </c>
      <c r="I40" s="38">
        <v>0.325</v>
      </c>
      <c r="J40" s="10" t="s">
        <v>40</v>
      </c>
    </row>
    <row r="41">
      <c r="A41" s="10" t="s">
        <v>6</v>
      </c>
      <c r="D41" s="10">
        <v>56.0</v>
      </c>
      <c r="E41" s="38">
        <v>0.1145</v>
      </c>
      <c r="F41" s="10">
        <v>13.0</v>
      </c>
      <c r="G41" s="38">
        <v>0.1313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22.0</v>
      </c>
      <c r="E42" s="38">
        <v>0.045</v>
      </c>
      <c r="F42" s="10">
        <v>6.0</v>
      </c>
      <c r="G42" s="38">
        <v>0.0606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23.0</v>
      </c>
      <c r="E43" s="38">
        <v>0.047</v>
      </c>
      <c r="F43" s="10">
        <v>2.0</v>
      </c>
      <c r="G43" s="38">
        <v>0.0202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10.0</v>
      </c>
      <c r="E44" s="38">
        <v>0.0204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7.0</v>
      </c>
      <c r="E45" s="38">
        <v>0.0143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0.01783050061</v>
      </c>
      <c r="E46" s="38">
        <v>0.0178</v>
      </c>
      <c r="F46" s="10">
        <v>-0.008032120954</v>
      </c>
      <c r="G46" s="38">
        <v>-0.008</v>
      </c>
      <c r="H46" s="10">
        <v>0.02491510704</v>
      </c>
      <c r="I46" s="38">
        <v>0.0249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303.0</v>
      </c>
      <c r="E3" s="38">
        <v>0.6196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0.3661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250.0</v>
      </c>
      <c r="E5" s="38">
        <v>0.5112</v>
      </c>
      <c r="F5" s="10">
        <v>64.0</v>
      </c>
      <c r="G5" s="38">
        <v>0.6465</v>
      </c>
      <c r="H5" s="10">
        <v>24.0</v>
      </c>
      <c r="I5" s="38">
        <v>0.6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239.0</v>
      </c>
      <c r="E6" s="38">
        <v>0.4888</v>
      </c>
      <c r="F6" s="10">
        <v>35.0</v>
      </c>
      <c r="G6" s="38">
        <v>0.3535</v>
      </c>
      <c r="H6" s="10">
        <v>9.0</v>
      </c>
      <c r="I6" s="38">
        <v>0.225</v>
      </c>
      <c r="J6" s="10" t="s">
        <v>40</v>
      </c>
    </row>
    <row r="7">
      <c r="A7" s="10" t="s">
        <v>47</v>
      </c>
      <c r="D7" s="10">
        <v>397.0</v>
      </c>
      <c r="E7" s="38">
        <v>0.8119</v>
      </c>
      <c r="F7" s="10">
        <v>77.0</v>
      </c>
      <c r="G7" s="38">
        <v>0.7778</v>
      </c>
      <c r="H7" s="10">
        <v>29.0</v>
      </c>
      <c r="I7" s="38">
        <v>0.725</v>
      </c>
      <c r="J7" s="10" t="s">
        <v>40</v>
      </c>
      <c r="L7" s="10">
        <v>1.0</v>
      </c>
    </row>
    <row r="8">
      <c r="A8" s="10" t="s">
        <v>48</v>
      </c>
      <c r="D8" s="10">
        <v>92.0</v>
      </c>
      <c r="E8" s="38">
        <v>0.1881</v>
      </c>
      <c r="F8" s="10">
        <v>24.0</v>
      </c>
      <c r="G8" s="38">
        <v>0.2424</v>
      </c>
      <c r="H8" s="10">
        <v>4.0</v>
      </c>
      <c r="I8" s="38">
        <v>0.1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229.0</v>
      </c>
      <c r="E9" s="38">
        <v>0.4683</v>
      </c>
      <c r="F9" s="10">
        <v>56.0</v>
      </c>
      <c r="G9" s="38">
        <v>0.5657</v>
      </c>
      <c r="H9" s="10">
        <v>22.0</v>
      </c>
      <c r="I9" s="38">
        <v>0.55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53.0</v>
      </c>
      <c r="E11" s="38">
        <v>0.1084</v>
      </c>
      <c r="F11" s="10">
        <v>8.0</v>
      </c>
      <c r="G11" s="38">
        <v>0.0808</v>
      </c>
      <c r="H11" s="10">
        <v>7.0</v>
      </c>
      <c r="I11" s="38">
        <v>0.175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193.0</v>
      </c>
      <c r="E12" s="38">
        <v>0.3947</v>
      </c>
      <c r="F12" s="10">
        <v>51.0</v>
      </c>
      <c r="G12" s="38">
        <v>0.5152</v>
      </c>
      <c r="H12" s="10">
        <v>13.0</v>
      </c>
      <c r="I12" s="38">
        <v>0.325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69.0</v>
      </c>
      <c r="E13" s="38">
        <v>0.1411</v>
      </c>
      <c r="F13" s="10">
        <v>17.0</v>
      </c>
      <c r="G13" s="38">
        <v>0.1717</v>
      </c>
      <c r="H13" s="10">
        <v>15.0</v>
      </c>
      <c r="I13" s="38">
        <v>0.375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69.0</v>
      </c>
      <c r="E14" s="38">
        <v>0.1411</v>
      </c>
      <c r="F14" s="10">
        <v>12.0</v>
      </c>
      <c r="G14" s="38">
        <v>0.1212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293.0</v>
      </c>
      <c r="E15" s="38">
        <v>0.5992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0.092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81.0</v>
      </c>
      <c r="E18" s="38">
        <v>0.1656</v>
      </c>
      <c r="F18" s="10">
        <v>9.0</v>
      </c>
      <c r="G18" s="38">
        <v>0.0909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13.0</v>
      </c>
      <c r="E19" s="38">
        <v>0.0266</v>
      </c>
      <c r="F19" s="10">
        <v>3.0</v>
      </c>
      <c r="G19" s="38">
        <v>0.0303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17.0</v>
      </c>
      <c r="E20" s="38">
        <v>0.0348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9.0</v>
      </c>
      <c r="G21" s="38">
        <v>0.0909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216.0</v>
      </c>
      <c r="E22" s="38">
        <v>0.4417</v>
      </c>
      <c r="F22" s="10">
        <v>47.0</v>
      </c>
      <c r="G22" s="38">
        <v>0.4747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241.0</v>
      </c>
      <c r="E23" s="38">
        <v>0.4928</v>
      </c>
      <c r="F23" s="10">
        <v>47.0</v>
      </c>
      <c r="G23" s="38">
        <v>0.4747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97.0</v>
      </c>
      <c r="E24" s="38">
        <v>0.1984</v>
      </c>
      <c r="F24" s="10">
        <v>20.0</v>
      </c>
      <c r="G24" s="38">
        <v>0.202</v>
      </c>
      <c r="H24" s="10">
        <v>9.0</v>
      </c>
      <c r="I24" s="38">
        <v>0.225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73.0</v>
      </c>
      <c r="E25" s="38">
        <v>0.1493</v>
      </c>
      <c r="F25" s="10">
        <v>20.0</v>
      </c>
      <c r="G25" s="38">
        <v>0.202</v>
      </c>
      <c r="H25" s="10">
        <v>18.0</v>
      </c>
      <c r="I25" s="38">
        <v>0.45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74.0</v>
      </c>
      <c r="E26" s="38">
        <v>0.1513</v>
      </c>
      <c r="F26" s="10">
        <v>15.0</v>
      </c>
      <c r="G26" s="38">
        <v>0.1515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84.0</v>
      </c>
      <c r="E27" s="38">
        <v>0.1718</v>
      </c>
      <c r="F27" s="10">
        <v>16.0</v>
      </c>
      <c r="G27" s="38">
        <v>0.1616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87.0</v>
      </c>
      <c r="E28" s="38">
        <v>0.1779</v>
      </c>
      <c r="F28" s="10">
        <v>9.0</v>
      </c>
      <c r="G28" s="38">
        <v>0.0909</v>
      </c>
      <c r="H28" s="10">
        <v>1.0</v>
      </c>
      <c r="I28" s="38">
        <v>0.025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17.0</v>
      </c>
      <c r="E29" s="38">
        <v>0.0348</v>
      </c>
      <c r="F29" s="10">
        <v>2.0</v>
      </c>
      <c r="G29" s="38">
        <v>0.0202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0.1043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103.0</v>
      </c>
      <c r="E32" s="38">
        <v>0.2106</v>
      </c>
      <c r="F32" s="10">
        <v>15.0</v>
      </c>
      <c r="G32" s="38">
        <v>0.1515</v>
      </c>
      <c r="H32" s="10">
        <v>6.0</v>
      </c>
      <c r="I32" s="38">
        <v>0.15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18.0</v>
      </c>
      <c r="E33" s="38">
        <v>0.0368</v>
      </c>
      <c r="F33" s="10">
        <v>3.0</v>
      </c>
      <c r="G33" s="38">
        <v>0.0303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0.1984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0.045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42.0</v>
      </c>
      <c r="E36" s="38">
        <v>0.0859</v>
      </c>
      <c r="F36" s="10">
        <v>10.0</v>
      </c>
      <c r="G36" s="38">
        <v>0.101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287.0</v>
      </c>
      <c r="E37" s="38">
        <v>0.5869</v>
      </c>
      <c r="F37" s="10">
        <v>51.0</v>
      </c>
      <c r="G37" s="38">
        <v>0.5152</v>
      </c>
      <c r="H37" s="10">
        <v>26.0</v>
      </c>
      <c r="I37" s="38">
        <v>0.65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134.0</v>
      </c>
      <c r="E38" s="38">
        <v>0.274</v>
      </c>
      <c r="F38" s="10">
        <v>17.0</v>
      </c>
      <c r="G38" s="38">
        <v>0.1717</v>
      </c>
      <c r="H38" s="10">
        <v>6.0</v>
      </c>
      <c r="I38" s="38">
        <v>0.15</v>
      </c>
      <c r="J38" s="10" t="s">
        <v>40</v>
      </c>
      <c r="K38" s="10" t="s">
        <v>43</v>
      </c>
    </row>
    <row r="39">
      <c r="A39" s="10" t="s">
        <v>78</v>
      </c>
      <c r="D39" s="10">
        <v>8.0</v>
      </c>
      <c r="E39" s="38">
        <v>0.0164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195.0</v>
      </c>
      <c r="E40" s="38">
        <v>0.3988</v>
      </c>
      <c r="F40" s="10">
        <v>48.0</v>
      </c>
      <c r="G40" s="38">
        <v>0.4848</v>
      </c>
      <c r="H40" s="10">
        <v>15.0</v>
      </c>
      <c r="I40" s="38">
        <v>0.375</v>
      </c>
      <c r="J40" s="10" t="s">
        <v>40</v>
      </c>
    </row>
    <row r="41">
      <c r="A41" s="10" t="s">
        <v>6</v>
      </c>
      <c r="D41" s="10">
        <v>46.0</v>
      </c>
      <c r="E41" s="38">
        <v>0.0941</v>
      </c>
      <c r="F41" s="10">
        <v>13.0</v>
      </c>
      <c r="G41" s="38">
        <v>0.1313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26.0</v>
      </c>
      <c r="E42" s="38">
        <v>0.0532</v>
      </c>
      <c r="F42" s="10">
        <v>6.0</v>
      </c>
      <c r="G42" s="38">
        <v>0.0606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24.0</v>
      </c>
      <c r="E43" s="38">
        <v>0.0491</v>
      </c>
      <c r="F43" s="10">
        <v>2.0</v>
      </c>
      <c r="G43" s="38">
        <v>0.0202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14.0</v>
      </c>
      <c r="E44" s="38">
        <v>0.0286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0.02417878867</v>
      </c>
      <c r="E46" s="38">
        <v>0.0242</v>
      </c>
      <c r="F46" s="10">
        <v>0.002504104324</v>
      </c>
      <c r="G46" s="38">
        <v>0.0025</v>
      </c>
      <c r="H46" s="10">
        <v>0.02900420219</v>
      </c>
      <c r="I46" s="38">
        <v>0.029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303.0</v>
      </c>
      <c r="E3" s="38">
        <v>0.6196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0.3661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259.0</v>
      </c>
      <c r="E5" s="38">
        <v>0.5297</v>
      </c>
      <c r="F5" s="10">
        <v>65.0</v>
      </c>
      <c r="G5" s="38">
        <v>0.6566</v>
      </c>
      <c r="H5" s="10">
        <v>26.0</v>
      </c>
      <c r="I5" s="38">
        <v>0.65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230.0</v>
      </c>
      <c r="E6" s="38">
        <v>0.4703</v>
      </c>
      <c r="F6" s="10">
        <v>34.0</v>
      </c>
      <c r="G6" s="38">
        <v>0.3434</v>
      </c>
      <c r="H6" s="10">
        <v>7.0</v>
      </c>
      <c r="I6" s="38">
        <v>0.175</v>
      </c>
      <c r="J6" s="10" t="s">
        <v>40</v>
      </c>
    </row>
    <row r="7">
      <c r="A7" s="10" t="s">
        <v>47</v>
      </c>
      <c r="D7" s="10">
        <v>383.0</v>
      </c>
      <c r="E7" s="38">
        <v>0.7832</v>
      </c>
      <c r="F7" s="10">
        <v>80.0</v>
      </c>
      <c r="G7" s="38">
        <v>0.8081</v>
      </c>
      <c r="H7" s="10">
        <v>25.0</v>
      </c>
      <c r="I7" s="38">
        <v>0.625</v>
      </c>
      <c r="J7" s="10" t="s">
        <v>40</v>
      </c>
      <c r="L7" s="10">
        <v>1.0</v>
      </c>
    </row>
    <row r="8">
      <c r="A8" s="10" t="s">
        <v>48</v>
      </c>
      <c r="D8" s="10">
        <v>106.0</v>
      </c>
      <c r="E8" s="38">
        <v>0.2168</v>
      </c>
      <c r="F8" s="10">
        <v>21.0</v>
      </c>
      <c r="G8" s="38">
        <v>0.2121</v>
      </c>
      <c r="H8" s="10">
        <v>8.0</v>
      </c>
      <c r="I8" s="38">
        <v>0.2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230.0</v>
      </c>
      <c r="E9" s="38">
        <v>0.4703</v>
      </c>
      <c r="F9" s="10">
        <v>55.0</v>
      </c>
      <c r="G9" s="38">
        <v>0.5556</v>
      </c>
      <c r="H9" s="10">
        <v>25.0</v>
      </c>
      <c r="I9" s="38">
        <v>0.625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46.0</v>
      </c>
      <c r="E11" s="38">
        <v>0.0941</v>
      </c>
      <c r="F11" s="10">
        <v>7.0</v>
      </c>
      <c r="G11" s="38">
        <v>0.0707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160.0</v>
      </c>
      <c r="E12" s="38">
        <v>0.3272</v>
      </c>
      <c r="F12" s="10">
        <v>46.0</v>
      </c>
      <c r="G12" s="38">
        <v>0.4646</v>
      </c>
      <c r="H12" s="10">
        <v>11.0</v>
      </c>
      <c r="I12" s="38">
        <v>0.275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72.0</v>
      </c>
      <c r="E13" s="38">
        <v>0.1472</v>
      </c>
      <c r="F13" s="10">
        <v>18.0</v>
      </c>
      <c r="G13" s="38">
        <v>0.1818</v>
      </c>
      <c r="H13" s="10">
        <v>14.0</v>
      </c>
      <c r="I13" s="38">
        <v>0.35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75.0</v>
      </c>
      <c r="E14" s="38">
        <v>0.1534</v>
      </c>
      <c r="F14" s="10">
        <v>14.0</v>
      </c>
      <c r="G14" s="38">
        <v>0.1414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293.0</v>
      </c>
      <c r="E15" s="38">
        <v>0.5992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0.092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99.0</v>
      </c>
      <c r="E18" s="38">
        <v>0.2025</v>
      </c>
      <c r="F18" s="10">
        <v>12.0</v>
      </c>
      <c r="G18" s="38">
        <v>0.1212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8.0</v>
      </c>
      <c r="E19" s="38">
        <v>0.0164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25.0</v>
      </c>
      <c r="E20" s="38">
        <v>0.0511</v>
      </c>
      <c r="F20" s="10">
        <v>3.0</v>
      </c>
      <c r="G20" s="38">
        <v>0.0303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12.0</v>
      </c>
      <c r="G21" s="38">
        <v>0.1212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228.0</v>
      </c>
      <c r="E22" s="38">
        <v>0.4663</v>
      </c>
      <c r="F22" s="10">
        <v>49.0</v>
      </c>
      <c r="G22" s="38">
        <v>0.4949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216.0</v>
      </c>
      <c r="E23" s="38">
        <v>0.4417</v>
      </c>
      <c r="F23" s="10">
        <v>45.0</v>
      </c>
      <c r="G23" s="38">
        <v>0.4545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142.0</v>
      </c>
      <c r="E24" s="38">
        <v>0.2904</v>
      </c>
      <c r="F24" s="10">
        <v>28.0</v>
      </c>
      <c r="G24" s="38">
        <v>0.2828</v>
      </c>
      <c r="H24" s="10">
        <v>22.0</v>
      </c>
      <c r="I24" s="38">
        <v>0.55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63.0</v>
      </c>
      <c r="E25" s="38">
        <v>0.1288</v>
      </c>
      <c r="F25" s="10">
        <v>20.0</v>
      </c>
      <c r="G25" s="38">
        <v>0.202</v>
      </c>
      <c r="H25" s="10">
        <v>8.0</v>
      </c>
      <c r="I25" s="38">
        <v>0.2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53.0</v>
      </c>
      <c r="E26" s="38">
        <v>0.1084</v>
      </c>
      <c r="F26" s="10">
        <v>8.0</v>
      </c>
      <c r="G26" s="38">
        <v>0.0808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135.0</v>
      </c>
      <c r="E27" s="38">
        <v>0.2761</v>
      </c>
      <c r="F27" s="10">
        <v>26.0</v>
      </c>
      <c r="G27" s="38">
        <v>0.2626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114.0</v>
      </c>
      <c r="E28" s="38">
        <v>0.2331</v>
      </c>
      <c r="F28" s="10">
        <v>18.0</v>
      </c>
      <c r="G28" s="38">
        <v>0.1818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35.0</v>
      </c>
      <c r="E29" s="38">
        <v>0.0716</v>
      </c>
      <c r="F29" s="10">
        <v>7.0</v>
      </c>
      <c r="G29" s="38">
        <v>0.0707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0.1043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127.0</v>
      </c>
      <c r="E32" s="38">
        <v>0.2597</v>
      </c>
      <c r="F32" s="10">
        <v>31.0</v>
      </c>
      <c r="G32" s="38">
        <v>0.3131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37.0</v>
      </c>
      <c r="E33" s="38">
        <v>0.0757</v>
      </c>
      <c r="F33" s="10">
        <v>10.0</v>
      </c>
      <c r="G33" s="38">
        <v>0.101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0.1984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0.045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46.0</v>
      </c>
      <c r="E36" s="38">
        <v>0.0941</v>
      </c>
      <c r="F36" s="10">
        <v>11.0</v>
      </c>
      <c r="G36" s="38">
        <v>0.1111</v>
      </c>
      <c r="H36" s="10">
        <v>3.0</v>
      </c>
      <c r="I36" s="38">
        <v>0.075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304.0</v>
      </c>
      <c r="E37" s="38">
        <v>0.6217</v>
      </c>
      <c r="F37" s="10">
        <v>54.0</v>
      </c>
      <c r="G37" s="38">
        <v>0.5455</v>
      </c>
      <c r="H37" s="10">
        <v>32.0</v>
      </c>
      <c r="I37" s="38">
        <v>0.8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172.0</v>
      </c>
      <c r="E38" s="38">
        <v>0.3517</v>
      </c>
      <c r="F38" s="10">
        <v>37.0</v>
      </c>
      <c r="G38" s="38">
        <v>0.3737</v>
      </c>
      <c r="H38" s="10">
        <v>15.0</v>
      </c>
      <c r="I38" s="38">
        <v>0.375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0.0245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179.0</v>
      </c>
      <c r="E40" s="38">
        <v>0.3661</v>
      </c>
      <c r="F40" s="10">
        <v>46.0</v>
      </c>
      <c r="G40" s="38">
        <v>0.4646</v>
      </c>
      <c r="H40" s="10">
        <v>9.0</v>
      </c>
      <c r="I40" s="38">
        <v>0.225</v>
      </c>
      <c r="J40" s="10" t="s">
        <v>40</v>
      </c>
    </row>
    <row r="41">
      <c r="A41" s="10" t="s">
        <v>6</v>
      </c>
      <c r="D41" s="10">
        <v>37.0</v>
      </c>
      <c r="E41" s="38">
        <v>0.0757</v>
      </c>
      <c r="F41" s="10">
        <v>9.0</v>
      </c>
      <c r="G41" s="38">
        <v>0.0909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49.0</v>
      </c>
      <c r="E42" s="38">
        <v>0.1002</v>
      </c>
      <c r="F42" s="10">
        <v>12.0</v>
      </c>
      <c r="G42" s="38">
        <v>0.1212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57.0</v>
      </c>
      <c r="E43" s="38">
        <v>0.1166</v>
      </c>
      <c r="F43" s="10">
        <v>11.0</v>
      </c>
      <c r="G43" s="38">
        <v>0.1111</v>
      </c>
      <c r="H43" s="10">
        <v>5.0</v>
      </c>
      <c r="I43" s="38">
        <v>0.125</v>
      </c>
      <c r="J43" s="10" t="s">
        <v>40</v>
      </c>
    </row>
    <row r="44">
      <c r="A44" s="10" t="s">
        <v>10</v>
      </c>
      <c r="D44" s="10">
        <v>20.0</v>
      </c>
      <c r="E44" s="38">
        <v>0.0409</v>
      </c>
      <c r="F44" s="10">
        <v>4.0</v>
      </c>
      <c r="G44" s="38">
        <v>0.0404</v>
      </c>
      <c r="H44" s="10">
        <v>0.0</v>
      </c>
      <c r="I44" s="38">
        <v>0.0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12.0</v>
      </c>
      <c r="E45" s="38">
        <v>0.0245</v>
      </c>
      <c r="F45" s="10">
        <v>6.0</v>
      </c>
      <c r="G45" s="38">
        <v>0.0606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>
        <v>0.03090803208</v>
      </c>
      <c r="E46" s="38">
        <v>0.0309</v>
      </c>
      <c r="F46" s="10">
        <v>0.004156210142</v>
      </c>
      <c r="G46" s="38">
        <v>0.0042</v>
      </c>
      <c r="H46" s="10">
        <v>0.02792089579</v>
      </c>
      <c r="I46" s="38">
        <v>0.0279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3.0</v>
      </c>
    </row>
    <row r="3">
      <c r="A3" s="10" t="s">
        <v>42</v>
      </c>
      <c r="B3" s="10">
        <v>0.0</v>
      </c>
      <c r="C3" s="38">
        <v>0.0</v>
      </c>
      <c r="D3" s="10">
        <v>303.0</v>
      </c>
      <c r="E3" s="38">
        <v>0.6196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0.3661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268.0</v>
      </c>
      <c r="E5" s="38">
        <v>0.5481</v>
      </c>
      <c r="F5" s="10">
        <v>68.0</v>
      </c>
      <c r="G5" s="38">
        <v>0.6869</v>
      </c>
      <c r="H5" s="10">
        <v>28.0</v>
      </c>
      <c r="I5" s="38">
        <v>0.7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221.0</v>
      </c>
      <c r="E6" s="38">
        <v>0.4519</v>
      </c>
      <c r="F6" s="10">
        <v>31.0</v>
      </c>
      <c r="G6" s="38">
        <v>0.3131</v>
      </c>
      <c r="H6" s="10">
        <v>5.0</v>
      </c>
      <c r="I6" s="38">
        <v>0.125</v>
      </c>
      <c r="J6" s="10" t="s">
        <v>40</v>
      </c>
    </row>
    <row r="7">
      <c r="A7" s="10" t="s">
        <v>47</v>
      </c>
      <c r="D7" s="10">
        <v>253.0</v>
      </c>
      <c r="E7" s="38">
        <v>0.5174</v>
      </c>
      <c r="F7" s="10">
        <v>68.0</v>
      </c>
      <c r="G7" s="38">
        <v>0.6869</v>
      </c>
      <c r="H7" s="10">
        <v>15.0</v>
      </c>
      <c r="I7" s="38">
        <v>0.375</v>
      </c>
      <c r="J7" s="10" t="s">
        <v>40</v>
      </c>
      <c r="L7" s="10">
        <v>1.0</v>
      </c>
    </row>
    <row r="8">
      <c r="A8" s="10" t="s">
        <v>48</v>
      </c>
      <c r="D8" s="10">
        <v>236.0</v>
      </c>
      <c r="E8" s="38">
        <v>0.4826</v>
      </c>
      <c r="F8" s="10">
        <v>33.0</v>
      </c>
      <c r="G8" s="38">
        <v>0.3333</v>
      </c>
      <c r="H8" s="10">
        <v>18.0</v>
      </c>
      <c r="I8" s="38">
        <v>0.45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230.0</v>
      </c>
      <c r="E9" s="38">
        <v>0.4703</v>
      </c>
      <c r="F9" s="10">
        <v>56.0</v>
      </c>
      <c r="G9" s="38">
        <v>0.5657</v>
      </c>
      <c r="H9" s="10">
        <v>24.0</v>
      </c>
      <c r="I9" s="38">
        <v>0.6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1.0</v>
      </c>
      <c r="E10" s="38">
        <v>0.002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31.0</v>
      </c>
      <c r="E11" s="38">
        <v>0.0634</v>
      </c>
      <c r="F11" s="10">
        <v>7.0</v>
      </c>
      <c r="G11" s="38">
        <v>0.0707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113.0</v>
      </c>
      <c r="E12" s="38">
        <v>0.2311</v>
      </c>
      <c r="F12" s="10">
        <v>41.0</v>
      </c>
      <c r="G12" s="38">
        <v>0.4141</v>
      </c>
      <c r="H12" s="10">
        <v>8.0</v>
      </c>
      <c r="I12" s="38">
        <v>0.2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73.0</v>
      </c>
      <c r="E13" s="38">
        <v>0.1493</v>
      </c>
      <c r="F13" s="10">
        <v>18.0</v>
      </c>
      <c r="G13" s="38">
        <v>0.1818</v>
      </c>
      <c r="H13" s="10">
        <v>14.0</v>
      </c>
      <c r="I13" s="38">
        <v>0.35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74.0</v>
      </c>
      <c r="E14" s="38">
        <v>0.1513</v>
      </c>
      <c r="F14" s="10">
        <v>12.0</v>
      </c>
      <c r="G14" s="38">
        <v>0.1212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293.0</v>
      </c>
      <c r="E15" s="38">
        <v>0.5992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0.092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53.0</v>
      </c>
      <c r="E18" s="38">
        <v>0.1084</v>
      </c>
      <c r="F18" s="10">
        <v>9.0</v>
      </c>
      <c r="G18" s="38">
        <v>0.0909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25.0</v>
      </c>
      <c r="E19" s="38">
        <v>0.0511</v>
      </c>
      <c r="F19" s="10">
        <v>2.0</v>
      </c>
      <c r="G19" s="38">
        <v>0.0202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9.0</v>
      </c>
      <c r="G21" s="38">
        <v>0.0909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248.0</v>
      </c>
      <c r="E22" s="38">
        <v>0.5072</v>
      </c>
      <c r="F22" s="10">
        <v>50.0</v>
      </c>
      <c r="G22" s="38">
        <v>0.5051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162.0</v>
      </c>
      <c r="E23" s="38">
        <v>0.3313</v>
      </c>
      <c r="F23" s="10">
        <v>34.0</v>
      </c>
      <c r="G23" s="38">
        <v>0.3434</v>
      </c>
      <c r="H23" s="10">
        <v>4.0</v>
      </c>
      <c r="I23" s="38">
        <v>0.1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110.0</v>
      </c>
      <c r="E24" s="38">
        <v>0.2249</v>
      </c>
      <c r="F24" s="10">
        <v>35.0</v>
      </c>
      <c r="G24" s="38">
        <v>0.3535</v>
      </c>
      <c r="H24" s="10">
        <v>24.0</v>
      </c>
      <c r="I24" s="38">
        <v>0.6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39.0</v>
      </c>
      <c r="E25" s="38">
        <v>0.0798</v>
      </c>
      <c r="F25" s="10">
        <v>15.0</v>
      </c>
      <c r="G25" s="38">
        <v>0.1515</v>
      </c>
      <c r="H25" s="10">
        <v>5.0</v>
      </c>
      <c r="I25" s="38">
        <v>0.125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30.0</v>
      </c>
      <c r="E26" s="38">
        <v>0.0613</v>
      </c>
      <c r="F26" s="10">
        <v>5.0</v>
      </c>
      <c r="G26" s="38">
        <v>0.0505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227.0</v>
      </c>
      <c r="E27" s="38">
        <v>0.4642</v>
      </c>
      <c r="F27" s="10">
        <v>55.0</v>
      </c>
      <c r="G27" s="38">
        <v>0.5556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121.0</v>
      </c>
      <c r="E28" s="38">
        <v>0.2474</v>
      </c>
      <c r="F28" s="10">
        <v>20.0</v>
      </c>
      <c r="G28" s="38">
        <v>0.202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16.0</v>
      </c>
      <c r="E29" s="38">
        <v>0.0327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0.1043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121.0</v>
      </c>
      <c r="E32" s="38">
        <v>0.2474</v>
      </c>
      <c r="F32" s="10">
        <v>33.0</v>
      </c>
      <c r="G32" s="38">
        <v>0.3333</v>
      </c>
      <c r="H32" s="10">
        <v>14.0</v>
      </c>
      <c r="I32" s="38">
        <v>0.35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16.0</v>
      </c>
      <c r="E33" s="38">
        <v>0.0327</v>
      </c>
      <c r="F33" s="10">
        <v>4.0</v>
      </c>
      <c r="G33" s="38">
        <v>0.0404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0.1984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0.045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53.0</v>
      </c>
      <c r="E36" s="38">
        <v>0.1084</v>
      </c>
      <c r="F36" s="10">
        <v>11.0</v>
      </c>
      <c r="G36" s="38">
        <v>0.1111</v>
      </c>
      <c r="H36" s="10">
        <v>3.0</v>
      </c>
      <c r="I36" s="38">
        <v>0.075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299.0</v>
      </c>
      <c r="E37" s="38">
        <v>0.6115</v>
      </c>
      <c r="F37" s="10">
        <v>51.0</v>
      </c>
      <c r="G37" s="38">
        <v>0.5152</v>
      </c>
      <c r="H37" s="10">
        <v>34.0</v>
      </c>
      <c r="I37" s="38">
        <v>0.85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164.0</v>
      </c>
      <c r="E38" s="38">
        <v>0.3354</v>
      </c>
      <c r="F38" s="10">
        <v>36.0</v>
      </c>
      <c r="G38" s="38">
        <v>0.3636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12.0</v>
      </c>
      <c r="E39" s="38">
        <v>0.0245</v>
      </c>
      <c r="F39" s="10">
        <v>3.0</v>
      </c>
      <c r="G39" s="38">
        <v>0.0303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185.0</v>
      </c>
      <c r="E40" s="38">
        <v>0.3783</v>
      </c>
      <c r="F40" s="10">
        <v>48.0</v>
      </c>
      <c r="G40" s="38">
        <v>0.4848</v>
      </c>
      <c r="H40" s="10">
        <v>7.0</v>
      </c>
      <c r="I40" s="38">
        <v>0.175</v>
      </c>
      <c r="J40" s="10" t="s">
        <v>40</v>
      </c>
    </row>
    <row r="41">
      <c r="A41" s="10" t="s">
        <v>6</v>
      </c>
      <c r="D41" s="10">
        <v>38.0</v>
      </c>
      <c r="E41" s="38">
        <v>0.0777</v>
      </c>
      <c r="F41" s="10">
        <v>9.0</v>
      </c>
      <c r="G41" s="38">
        <v>0.0909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25.0</v>
      </c>
      <c r="E42" s="38">
        <v>0.0511</v>
      </c>
      <c r="F42" s="10">
        <v>4.0</v>
      </c>
      <c r="G42" s="38">
        <v>0.0404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51.0</v>
      </c>
      <c r="E43" s="38">
        <v>0.1043</v>
      </c>
      <c r="F43" s="10">
        <v>9.0</v>
      </c>
      <c r="G43" s="38">
        <v>0.0909</v>
      </c>
      <c r="H43" s="10">
        <v>7.0</v>
      </c>
      <c r="I43" s="38">
        <v>0.175</v>
      </c>
      <c r="J43" s="10" t="s">
        <v>40</v>
      </c>
    </row>
    <row r="44">
      <c r="A44" s="10" t="s">
        <v>10</v>
      </c>
      <c r="D44" s="10">
        <v>16.0</v>
      </c>
      <c r="E44" s="38">
        <v>0.0327</v>
      </c>
      <c r="F44" s="10">
        <v>3.0</v>
      </c>
      <c r="G44" s="38">
        <v>0.0303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5.0</v>
      </c>
      <c r="E45" s="38">
        <v>0.0102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0.03774423674</v>
      </c>
      <c r="E46" s="38">
        <v>0.0377</v>
      </c>
      <c r="F46" s="10">
        <v>0.008815139262</v>
      </c>
      <c r="G46" s="38">
        <v>0.0088</v>
      </c>
      <c r="H46" s="10">
        <v>0.03590841899</v>
      </c>
      <c r="I46" s="38">
        <v>0.0359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489.0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303.0</v>
      </c>
      <c r="E3" s="38">
        <v>0.6196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0.3661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276.0</v>
      </c>
      <c r="E5" s="38">
        <v>0.5644</v>
      </c>
      <c r="F5" s="10">
        <v>68.0</v>
      </c>
      <c r="G5" s="38">
        <v>0.6869</v>
      </c>
      <c r="H5" s="10">
        <v>28.0</v>
      </c>
      <c r="I5" s="38">
        <v>0.7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213.0</v>
      </c>
      <c r="E6" s="38">
        <v>0.4356</v>
      </c>
      <c r="F6" s="10">
        <v>31.0</v>
      </c>
      <c r="G6" s="38">
        <v>0.3131</v>
      </c>
      <c r="H6" s="10">
        <v>5.0</v>
      </c>
      <c r="I6" s="38">
        <v>0.125</v>
      </c>
      <c r="J6" s="10" t="s">
        <v>40</v>
      </c>
    </row>
    <row r="7">
      <c r="A7" s="10" t="s">
        <v>47</v>
      </c>
      <c r="D7" s="10">
        <v>192.0</v>
      </c>
      <c r="E7" s="38">
        <v>0.3926</v>
      </c>
      <c r="F7" s="10">
        <v>48.0</v>
      </c>
      <c r="G7" s="38">
        <v>0.4848</v>
      </c>
      <c r="H7" s="10">
        <v>10.0</v>
      </c>
      <c r="I7" s="38">
        <v>0.25</v>
      </c>
      <c r="J7" s="10" t="s">
        <v>40</v>
      </c>
      <c r="L7" s="10">
        <v>0.0</v>
      </c>
    </row>
    <row r="8">
      <c r="A8" s="10" t="s">
        <v>48</v>
      </c>
      <c r="D8" s="10">
        <v>297.0</v>
      </c>
      <c r="E8" s="38">
        <v>0.6074</v>
      </c>
      <c r="F8" s="10">
        <v>53.0</v>
      </c>
      <c r="G8" s="38">
        <v>0.5354</v>
      </c>
      <c r="H8" s="10">
        <v>23.0</v>
      </c>
      <c r="I8" s="38">
        <v>0.575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230.0</v>
      </c>
      <c r="E9" s="38">
        <v>0.4703</v>
      </c>
      <c r="F9" s="10">
        <v>57.0</v>
      </c>
      <c r="G9" s="38">
        <v>0.5758</v>
      </c>
      <c r="H9" s="10">
        <v>25.0</v>
      </c>
      <c r="I9" s="38">
        <v>0.625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28.0</v>
      </c>
      <c r="E11" s="38">
        <v>0.0573</v>
      </c>
      <c r="F11" s="10">
        <v>9.0</v>
      </c>
      <c r="G11" s="38">
        <v>0.0909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109.0</v>
      </c>
      <c r="E12" s="38">
        <v>0.2229</v>
      </c>
      <c r="F12" s="10">
        <v>37.0</v>
      </c>
      <c r="G12" s="38">
        <v>0.3737</v>
      </c>
      <c r="H12" s="10">
        <v>9.0</v>
      </c>
      <c r="I12" s="38">
        <v>0.225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72.0</v>
      </c>
      <c r="E13" s="38">
        <v>0.1472</v>
      </c>
      <c r="F13" s="10">
        <v>21.0</v>
      </c>
      <c r="G13" s="38">
        <v>0.2121</v>
      </c>
      <c r="H13" s="10">
        <v>15.0</v>
      </c>
      <c r="I13" s="38">
        <v>0.375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74.0</v>
      </c>
      <c r="E14" s="38">
        <v>0.1513</v>
      </c>
      <c r="F14" s="10">
        <v>14.0</v>
      </c>
      <c r="G14" s="38">
        <v>0.1414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293.0</v>
      </c>
      <c r="E15" s="38">
        <v>0.5992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0.092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62.0</v>
      </c>
      <c r="E18" s="38">
        <v>0.1268</v>
      </c>
      <c r="F18" s="10">
        <v>13.0</v>
      </c>
      <c r="G18" s="38">
        <v>0.1313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57.0</v>
      </c>
      <c r="E19" s="38">
        <v>0.1166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16.0</v>
      </c>
      <c r="E20" s="38">
        <v>0.0327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11.0</v>
      </c>
      <c r="E21" s="38">
        <v>0.0225</v>
      </c>
      <c r="F21" s="10">
        <v>13.0</v>
      </c>
      <c r="G21" s="38">
        <v>0.1313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255.0</v>
      </c>
      <c r="E22" s="38">
        <v>0.5215</v>
      </c>
      <c r="F22" s="10">
        <v>63.0</v>
      </c>
      <c r="G22" s="38">
        <v>0.6364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150.0</v>
      </c>
      <c r="E23" s="38">
        <v>0.3067</v>
      </c>
      <c r="F23" s="10">
        <v>23.0</v>
      </c>
      <c r="G23" s="38">
        <v>0.2323</v>
      </c>
      <c r="H23" s="10">
        <v>3.0</v>
      </c>
      <c r="I23" s="38">
        <v>0.075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30.0</v>
      </c>
      <c r="E24" s="38">
        <v>0.0613</v>
      </c>
      <c r="F24" s="10">
        <v>11.0</v>
      </c>
      <c r="G24" s="38">
        <v>0.1111</v>
      </c>
      <c r="H24" s="10">
        <v>3.0</v>
      </c>
      <c r="I24" s="38">
        <v>0.075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26.0</v>
      </c>
      <c r="E25" s="38">
        <v>0.0532</v>
      </c>
      <c r="F25" s="10">
        <v>10.0</v>
      </c>
      <c r="G25" s="38">
        <v>0.101</v>
      </c>
      <c r="H25" s="10">
        <v>3.0</v>
      </c>
      <c r="I25" s="38">
        <v>0.075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20.0</v>
      </c>
      <c r="E26" s="38">
        <v>0.0409</v>
      </c>
      <c r="F26" s="10">
        <v>1.0</v>
      </c>
      <c r="G26" s="38">
        <v>0.0101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224.0</v>
      </c>
      <c r="E27" s="38">
        <v>0.4581</v>
      </c>
      <c r="F27" s="10">
        <v>59.0</v>
      </c>
      <c r="G27" s="38">
        <v>0.596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139.0</v>
      </c>
      <c r="E28" s="38">
        <v>0.2843</v>
      </c>
      <c r="F28" s="10">
        <v>23.0</v>
      </c>
      <c r="G28" s="38">
        <v>0.2323</v>
      </c>
      <c r="H28" s="10">
        <v>5.0</v>
      </c>
      <c r="I28" s="38">
        <v>0.125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12.0</v>
      </c>
      <c r="E29" s="38">
        <v>0.0245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0.1043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137.0</v>
      </c>
      <c r="E32" s="38">
        <v>0.2802</v>
      </c>
      <c r="F32" s="10">
        <v>37.0</v>
      </c>
      <c r="G32" s="38">
        <v>0.3737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12.0</v>
      </c>
      <c r="E33" s="38">
        <v>0.0245</v>
      </c>
      <c r="F33" s="10">
        <v>5.0</v>
      </c>
      <c r="G33" s="38">
        <v>0.0505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0.1984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0.045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51.0</v>
      </c>
      <c r="E36" s="38">
        <v>0.1043</v>
      </c>
      <c r="F36" s="10">
        <v>10.0</v>
      </c>
      <c r="G36" s="38">
        <v>0.101</v>
      </c>
      <c r="H36" s="10">
        <v>3.0</v>
      </c>
      <c r="I36" s="38">
        <v>0.075</v>
      </c>
      <c r="J36" s="10" t="s">
        <v>40</v>
      </c>
      <c r="K36" s="10" t="s">
        <v>79</v>
      </c>
      <c r="L36" s="10">
        <v>0.0</v>
      </c>
    </row>
    <row r="37">
      <c r="A37" s="10" t="s">
        <v>8</v>
      </c>
      <c r="D37" s="10">
        <v>305.0</v>
      </c>
      <c r="E37" s="38">
        <v>0.6237</v>
      </c>
      <c r="F37" s="10">
        <v>56.0</v>
      </c>
      <c r="G37" s="38">
        <v>0.5657</v>
      </c>
      <c r="H37" s="10">
        <v>32.0</v>
      </c>
      <c r="I37" s="38">
        <v>0.8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188.0</v>
      </c>
      <c r="E38" s="38">
        <v>0.3845</v>
      </c>
      <c r="F38" s="10">
        <v>37.0</v>
      </c>
      <c r="G38" s="38">
        <v>0.3737</v>
      </c>
      <c r="H38" s="10">
        <v>13.0</v>
      </c>
      <c r="I38" s="38">
        <v>0.325</v>
      </c>
      <c r="J38" s="10" t="s">
        <v>40</v>
      </c>
      <c r="K38" s="10" t="s">
        <v>43</v>
      </c>
    </row>
    <row r="39">
      <c r="A39" s="10" t="s">
        <v>78</v>
      </c>
      <c r="D39" s="10">
        <v>18.0</v>
      </c>
      <c r="E39" s="38">
        <v>0.0368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180.0</v>
      </c>
      <c r="E40" s="38">
        <v>0.3681</v>
      </c>
      <c r="F40" s="10">
        <v>44.0</v>
      </c>
      <c r="G40" s="38">
        <v>0.4444</v>
      </c>
      <c r="H40" s="10">
        <v>9.0</v>
      </c>
      <c r="I40" s="38">
        <v>0.225</v>
      </c>
      <c r="J40" s="10" t="s">
        <v>40</v>
      </c>
    </row>
    <row r="41">
      <c r="A41" s="10" t="s">
        <v>6</v>
      </c>
      <c r="D41" s="10">
        <v>40.0</v>
      </c>
      <c r="E41" s="38">
        <v>0.0818</v>
      </c>
      <c r="F41" s="10">
        <v>9.0</v>
      </c>
      <c r="G41" s="38">
        <v>0.0909</v>
      </c>
      <c r="H41" s="10">
        <v>0.0</v>
      </c>
      <c r="I41" s="38">
        <v>0.0</v>
      </c>
      <c r="J41" s="10" t="s">
        <v>40</v>
      </c>
      <c r="K41" s="10" t="s">
        <v>66</v>
      </c>
      <c r="L41" s="10">
        <v>0.0</v>
      </c>
    </row>
    <row r="42">
      <c r="A42" s="10" t="s">
        <v>13</v>
      </c>
      <c r="D42" s="10">
        <v>19.0</v>
      </c>
      <c r="E42" s="38">
        <v>0.0389</v>
      </c>
      <c r="F42" s="10">
        <v>5.0</v>
      </c>
      <c r="G42" s="38">
        <v>0.0505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49.0</v>
      </c>
      <c r="E43" s="38">
        <v>0.1002</v>
      </c>
      <c r="F43" s="10">
        <v>13.0</v>
      </c>
      <c r="G43" s="38">
        <v>0.1313</v>
      </c>
      <c r="H43" s="10">
        <v>7.0</v>
      </c>
      <c r="I43" s="38">
        <v>0.175</v>
      </c>
      <c r="J43" s="10" t="s">
        <v>40</v>
      </c>
    </row>
    <row r="44">
      <c r="A44" s="10" t="s">
        <v>10</v>
      </c>
      <c r="D44" s="10">
        <v>26.0</v>
      </c>
      <c r="E44" s="38">
        <v>0.0532</v>
      </c>
      <c r="F44" s="10">
        <v>5.0</v>
      </c>
      <c r="G44" s="38">
        <v>0.0505</v>
      </c>
      <c r="H44" s="10">
        <v>1.0</v>
      </c>
      <c r="I44" s="38">
        <v>0.025</v>
      </c>
      <c r="J44" s="10" t="s">
        <v>40</v>
      </c>
      <c r="K44" s="10" t="s">
        <v>79</v>
      </c>
      <c r="L44" s="10">
        <v>1.0</v>
      </c>
    </row>
    <row r="45">
      <c r="A45" s="10" t="s">
        <v>11</v>
      </c>
      <c r="D45" s="10">
        <v>4.0</v>
      </c>
      <c r="E45" s="38">
        <v>0.0082</v>
      </c>
      <c r="F45" s="10">
        <v>2.0</v>
      </c>
      <c r="G45" s="38">
        <v>0.0202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>
        <v>0.04003090297</v>
      </c>
      <c r="E46" s="38">
        <v>0.04</v>
      </c>
      <c r="F46" s="10">
        <v>0.008700398288</v>
      </c>
      <c r="G46" s="38">
        <v>0.0087</v>
      </c>
      <c r="H46" s="10">
        <v>0.03713776758</v>
      </c>
      <c r="I46" s="38">
        <v>0.0371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4.0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285.0</v>
      </c>
      <c r="E5" s="38">
        <v>0.5816</v>
      </c>
      <c r="F5" s="10">
        <v>70.0</v>
      </c>
      <c r="G5" s="38">
        <v>0.7071</v>
      </c>
      <c r="H5" s="10">
        <v>28.0</v>
      </c>
      <c r="I5" s="38">
        <v>0.7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205.0</v>
      </c>
      <c r="E6" s="38">
        <v>0.4184</v>
      </c>
      <c r="F6" s="10">
        <v>29.0</v>
      </c>
      <c r="G6" s="38">
        <v>0.2929</v>
      </c>
      <c r="H6" s="10">
        <v>5.0</v>
      </c>
      <c r="I6" s="38">
        <v>0.125</v>
      </c>
      <c r="J6" s="10" t="s">
        <v>40</v>
      </c>
    </row>
    <row r="7">
      <c r="A7" s="10" t="s">
        <v>47</v>
      </c>
      <c r="D7" s="10">
        <v>154.0</v>
      </c>
      <c r="E7" s="38">
        <v>0.3143</v>
      </c>
      <c r="F7" s="10">
        <v>30.0</v>
      </c>
      <c r="G7" s="38">
        <v>0.303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336.0</v>
      </c>
      <c r="E8" s="38">
        <v>0.6857</v>
      </c>
      <c r="F8" s="10">
        <v>71.0</v>
      </c>
      <c r="G8" s="38">
        <v>0.7172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231.0</v>
      </c>
      <c r="E9" s="38">
        <v>0.4714</v>
      </c>
      <c r="F9" s="10">
        <v>58.0</v>
      </c>
      <c r="G9" s="38">
        <v>0.5859</v>
      </c>
      <c r="H9" s="10">
        <v>23.0</v>
      </c>
      <c r="I9" s="38">
        <v>0.575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27.0</v>
      </c>
      <c r="E11" s="38">
        <v>0.0551</v>
      </c>
      <c r="F11" s="10">
        <v>11.0</v>
      </c>
      <c r="G11" s="38">
        <v>0.1111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98.0</v>
      </c>
      <c r="E12" s="38">
        <v>0.2</v>
      </c>
      <c r="F12" s="10">
        <v>32.0</v>
      </c>
      <c r="G12" s="38">
        <v>0.3232</v>
      </c>
      <c r="H12" s="10">
        <v>5.0</v>
      </c>
      <c r="I12" s="38">
        <v>0.125</v>
      </c>
      <c r="J12" s="10" t="s">
        <v>40</v>
      </c>
      <c r="K12" s="10" t="s">
        <v>53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69.0</v>
      </c>
      <c r="E13" s="38">
        <v>0.1408</v>
      </c>
      <c r="F13" s="10">
        <v>22.0</v>
      </c>
      <c r="G13" s="38">
        <v>0.2222</v>
      </c>
      <c r="H13" s="10">
        <v>19.0</v>
      </c>
      <c r="I13" s="38">
        <v>0.475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81.0</v>
      </c>
      <c r="E14" s="38">
        <v>0.1653</v>
      </c>
      <c r="F14" s="10">
        <v>14.0</v>
      </c>
      <c r="G14" s="38">
        <v>0.1414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6.0</v>
      </c>
      <c r="E18" s="38">
        <v>0.0122</v>
      </c>
      <c r="F18" s="10">
        <v>1.0</v>
      </c>
      <c r="G18" s="38">
        <v>0.0101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217.0</v>
      </c>
      <c r="E19" s="38">
        <v>0.4429</v>
      </c>
      <c r="F19" s="10">
        <v>31.0</v>
      </c>
      <c r="G19" s="38">
        <v>0.3131</v>
      </c>
      <c r="H19" s="10">
        <v>2.0</v>
      </c>
      <c r="I19" s="38">
        <v>0.05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0.0</v>
      </c>
      <c r="E20" s="38">
        <v>0.0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23.0</v>
      </c>
      <c r="E21" s="38">
        <v>0.0469</v>
      </c>
      <c r="F21" s="10">
        <v>1.0</v>
      </c>
      <c r="G21" s="38">
        <v>0.0101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246.0</v>
      </c>
      <c r="E22" s="38">
        <v>0.502</v>
      </c>
      <c r="F22" s="10">
        <v>52.0</v>
      </c>
      <c r="G22" s="38">
        <v>0.5253</v>
      </c>
      <c r="H22" s="10">
        <v>20.0</v>
      </c>
      <c r="I22" s="38">
        <v>0.5</v>
      </c>
      <c r="J22" s="10" t="s">
        <v>40</v>
      </c>
    </row>
    <row r="23">
      <c r="A23" s="10" t="s">
        <v>64</v>
      </c>
      <c r="D23" s="10">
        <v>158.0</v>
      </c>
      <c r="E23" s="38">
        <v>0.3224</v>
      </c>
      <c r="F23" s="10">
        <v>28.0</v>
      </c>
      <c r="G23" s="38">
        <v>0.2828</v>
      </c>
      <c r="H23" s="10">
        <v>5.0</v>
      </c>
      <c r="I23" s="38">
        <v>0.125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29.0</v>
      </c>
      <c r="E24" s="38">
        <v>0.0592</v>
      </c>
      <c r="F24" s="10">
        <v>11.0</v>
      </c>
      <c r="G24" s="38">
        <v>0.1111</v>
      </c>
      <c r="H24" s="10">
        <v>1.0</v>
      </c>
      <c r="I24" s="38">
        <v>0.025</v>
      </c>
      <c r="J24" s="10" t="s">
        <v>40</v>
      </c>
      <c r="K24" s="10" t="s">
        <v>79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22.0</v>
      </c>
      <c r="E25" s="38">
        <v>0.0449</v>
      </c>
      <c r="F25" s="10">
        <v>5.0</v>
      </c>
      <c r="G25" s="38">
        <v>0.0505</v>
      </c>
      <c r="H25" s="10">
        <v>0.0</v>
      </c>
      <c r="I25" s="38">
        <v>0.0</v>
      </c>
      <c r="J25" s="10" t="s">
        <v>40</v>
      </c>
      <c r="K25" s="10" t="s">
        <v>79</v>
      </c>
    </row>
    <row r="26">
      <c r="A26" s="10" t="s">
        <v>68</v>
      </c>
      <c r="B26" s="10">
        <v>0.0</v>
      </c>
      <c r="C26" s="38">
        <v>0.0</v>
      </c>
      <c r="D26" s="10">
        <v>26.0</v>
      </c>
      <c r="E26" s="38">
        <v>0.0531</v>
      </c>
      <c r="F26" s="10">
        <v>2.0</v>
      </c>
      <c r="G26" s="38">
        <v>0.0202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193.0</v>
      </c>
      <c r="E27" s="38">
        <v>0.3939</v>
      </c>
      <c r="F27" s="10">
        <v>45.0</v>
      </c>
      <c r="G27" s="38">
        <v>0.4545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150.0</v>
      </c>
      <c r="E28" s="38">
        <v>0.3061</v>
      </c>
      <c r="F28" s="10">
        <v>23.0</v>
      </c>
      <c r="G28" s="38">
        <v>0.2323</v>
      </c>
      <c r="H28" s="10">
        <v>5.0</v>
      </c>
      <c r="I28" s="38">
        <v>0.125</v>
      </c>
      <c r="J28" s="10" t="s">
        <v>40</v>
      </c>
      <c r="L28" s="10">
        <v>1.0</v>
      </c>
    </row>
    <row r="29">
      <c r="A29" s="10" t="s">
        <v>71</v>
      </c>
      <c r="B29" s="10">
        <v>0.0</v>
      </c>
      <c r="C29" s="38">
        <v>0.0</v>
      </c>
      <c r="D29" s="10">
        <v>8.0</v>
      </c>
      <c r="E29" s="38">
        <v>0.0163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151.0</v>
      </c>
      <c r="E32" s="38">
        <v>0.3082</v>
      </c>
      <c r="F32" s="10">
        <v>35.0</v>
      </c>
      <c r="G32" s="38">
        <v>0.3535</v>
      </c>
      <c r="H32" s="10">
        <v>15.0</v>
      </c>
      <c r="I32" s="38">
        <v>0.375</v>
      </c>
      <c r="J32" s="10" t="s">
        <v>40</v>
      </c>
      <c r="L32" s="10">
        <v>1.0</v>
      </c>
    </row>
    <row r="33">
      <c r="A33" s="10" t="s">
        <v>75</v>
      </c>
      <c r="B33" s="10">
        <v>0.0</v>
      </c>
      <c r="C33" s="38">
        <v>0.0</v>
      </c>
      <c r="D33" s="10">
        <v>8.0</v>
      </c>
      <c r="E33" s="38">
        <v>0.0163</v>
      </c>
      <c r="F33" s="10">
        <v>3.0</v>
      </c>
      <c r="G33" s="38">
        <v>0.0303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43.0</v>
      </c>
      <c r="E36" s="38">
        <v>0.0878</v>
      </c>
      <c r="F36" s="10">
        <v>10.0</v>
      </c>
      <c r="G36" s="38">
        <v>0.101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301.0</v>
      </c>
      <c r="E37" s="38">
        <v>0.6143</v>
      </c>
      <c r="F37" s="10">
        <v>55.0</v>
      </c>
      <c r="G37" s="38">
        <v>0.5556</v>
      </c>
      <c r="H37" s="10">
        <v>32.0</v>
      </c>
      <c r="I37" s="38">
        <v>0.8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195.0</v>
      </c>
      <c r="E38" s="38">
        <v>0.398</v>
      </c>
      <c r="F38" s="10">
        <v>36.0</v>
      </c>
      <c r="G38" s="38">
        <v>0.3636</v>
      </c>
      <c r="H38" s="10">
        <v>16.0</v>
      </c>
      <c r="I38" s="38">
        <v>0.4</v>
      </c>
      <c r="J38" s="10" t="s">
        <v>40</v>
      </c>
      <c r="K38" s="10" t="s">
        <v>43</v>
      </c>
    </row>
    <row r="39">
      <c r="A39" s="10" t="s">
        <v>78</v>
      </c>
      <c r="D39" s="10">
        <v>15.0</v>
      </c>
      <c r="E39" s="38">
        <v>0.0306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182.0</v>
      </c>
      <c r="E40" s="38">
        <v>0.3714</v>
      </c>
      <c r="F40" s="10">
        <v>43.0</v>
      </c>
      <c r="G40" s="38">
        <v>0.4343</v>
      </c>
      <c r="H40" s="10">
        <v>9.0</v>
      </c>
      <c r="I40" s="38">
        <v>0.225</v>
      </c>
      <c r="J40" s="10" t="s">
        <v>40</v>
      </c>
    </row>
    <row r="41">
      <c r="A41" s="10" t="s">
        <v>6</v>
      </c>
      <c r="D41" s="10">
        <v>53.0</v>
      </c>
      <c r="E41" s="38">
        <v>0.1082</v>
      </c>
      <c r="F41" s="10">
        <v>16.0</v>
      </c>
      <c r="G41" s="38">
        <v>0.1616</v>
      </c>
      <c r="H41" s="10">
        <v>0.0</v>
      </c>
      <c r="I41" s="38">
        <v>0.0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19.0</v>
      </c>
      <c r="E42" s="38">
        <v>0.0388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53.0</v>
      </c>
      <c r="E43" s="38">
        <v>0.1082</v>
      </c>
      <c r="F43" s="10">
        <v>11.0</v>
      </c>
      <c r="G43" s="38">
        <v>0.1111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23.0</v>
      </c>
      <c r="E44" s="38">
        <v>0.0469</v>
      </c>
      <c r="F44" s="10">
        <v>4.0</v>
      </c>
      <c r="G44" s="38">
        <v>0.0404</v>
      </c>
      <c r="H44" s="10">
        <v>1.0</v>
      </c>
      <c r="I44" s="38">
        <v>0.025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3.0</v>
      </c>
      <c r="E45" s="38">
        <v>0.0061</v>
      </c>
      <c r="F45" s="10">
        <v>1.0</v>
      </c>
      <c r="G45" s="38">
        <v>0.0101</v>
      </c>
      <c r="H45" s="10">
        <v>0.0</v>
      </c>
      <c r="I45" s="38">
        <v>0.0</v>
      </c>
      <c r="J45" s="10" t="s">
        <v>40</v>
      </c>
      <c r="K45" s="10" t="s">
        <v>82</v>
      </c>
    </row>
    <row r="46">
      <c r="A46" s="10" t="s">
        <v>83</v>
      </c>
      <c r="D46" s="10" t="e">
        <v>#N/A</v>
      </c>
      <c r="E46" s="10" t="e">
        <v>#N/A</v>
      </c>
      <c r="F46" s="10">
        <v>0.01963172564</v>
      </c>
      <c r="G46" s="38">
        <v>0.0196</v>
      </c>
      <c r="H46" s="10">
        <v>0.03619189762</v>
      </c>
      <c r="I46" s="38">
        <v>0.0362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2.0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288.0</v>
      </c>
      <c r="E5" s="38">
        <v>0.5878</v>
      </c>
      <c r="F5" s="10">
        <v>71.0</v>
      </c>
      <c r="G5" s="38">
        <v>0.7172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202.0</v>
      </c>
      <c r="E6" s="38">
        <v>0.4122</v>
      </c>
      <c r="F6" s="10">
        <v>28.0</v>
      </c>
      <c r="G6" s="38">
        <v>0.2828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148.0</v>
      </c>
      <c r="E7" s="38">
        <v>0.302</v>
      </c>
      <c r="F7" s="10">
        <v>25.0</v>
      </c>
      <c r="G7" s="38">
        <v>0.2525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342.0</v>
      </c>
      <c r="E8" s="38">
        <v>0.698</v>
      </c>
      <c r="F8" s="10">
        <v>76.0</v>
      </c>
      <c r="G8" s="38">
        <v>0.7677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234.0</v>
      </c>
      <c r="E9" s="38">
        <v>0.4776</v>
      </c>
      <c r="F9" s="10">
        <v>57.0</v>
      </c>
      <c r="G9" s="38">
        <v>0.5758</v>
      </c>
      <c r="H9" s="10">
        <v>25.0</v>
      </c>
      <c r="I9" s="38">
        <v>0.625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43.0</v>
      </c>
      <c r="E11" s="38">
        <v>0.0878</v>
      </c>
      <c r="F11" s="10">
        <v>10.0</v>
      </c>
      <c r="G11" s="38">
        <v>0.101</v>
      </c>
      <c r="H11" s="10">
        <v>9.0</v>
      </c>
      <c r="I11" s="38">
        <v>0.225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185.0</v>
      </c>
      <c r="E12" s="38">
        <v>0.3776</v>
      </c>
      <c r="F12" s="10">
        <v>48.0</v>
      </c>
      <c r="G12" s="38">
        <v>0.4848</v>
      </c>
      <c r="H12" s="10">
        <v>10.0</v>
      </c>
      <c r="I12" s="38">
        <v>0.25</v>
      </c>
      <c r="J12" s="10" t="s">
        <v>40</v>
      </c>
      <c r="K12" s="10" t="s">
        <v>79</v>
      </c>
      <c r="L12" s="10">
        <v>1.0</v>
      </c>
    </row>
    <row r="13">
      <c r="A13" s="10" t="s">
        <v>54</v>
      </c>
      <c r="B13" s="10">
        <v>0.0</v>
      </c>
      <c r="C13" s="38">
        <v>0.0</v>
      </c>
      <c r="D13" s="10">
        <v>68.0</v>
      </c>
      <c r="E13" s="38">
        <v>0.1388</v>
      </c>
      <c r="F13" s="10">
        <v>22.0</v>
      </c>
      <c r="G13" s="38">
        <v>0.2222</v>
      </c>
      <c r="H13" s="10">
        <v>18.0</v>
      </c>
      <c r="I13" s="38">
        <v>0.45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78.0</v>
      </c>
      <c r="E14" s="38">
        <v>0.1592</v>
      </c>
      <c r="F14" s="10">
        <v>12.0</v>
      </c>
      <c r="G14" s="38">
        <v>0.1212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18.0</v>
      </c>
      <c r="E18" s="38">
        <v>0.0367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60.0</v>
      </c>
      <c r="E19" s="38">
        <v>0.1224</v>
      </c>
      <c r="F19" s="10">
        <v>10.0</v>
      </c>
      <c r="G19" s="38">
        <v>0.101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2.0</v>
      </c>
      <c r="E20" s="38">
        <v>0.0041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225.0</v>
      </c>
      <c r="E22" s="38">
        <v>0.4592</v>
      </c>
      <c r="F22" s="10">
        <v>51.0</v>
      </c>
      <c r="G22" s="38">
        <v>0.5152</v>
      </c>
      <c r="H22" s="10">
        <v>20.0</v>
      </c>
      <c r="I22" s="38">
        <v>0.5</v>
      </c>
      <c r="J22" s="10" t="s">
        <v>40</v>
      </c>
    </row>
    <row r="23">
      <c r="A23" s="10" t="s">
        <v>64</v>
      </c>
      <c r="D23" s="10">
        <v>201.0</v>
      </c>
      <c r="E23" s="38">
        <v>0.4102</v>
      </c>
      <c r="F23" s="10">
        <v>35.0</v>
      </c>
      <c r="G23" s="38">
        <v>0.3535</v>
      </c>
      <c r="H23" s="10">
        <v>12.0</v>
      </c>
      <c r="I23" s="38">
        <v>0.3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86.0</v>
      </c>
      <c r="E24" s="38">
        <v>0.1755</v>
      </c>
      <c r="F24" s="10">
        <v>14.0</v>
      </c>
      <c r="G24" s="38">
        <v>0.1414</v>
      </c>
      <c r="H24" s="10">
        <v>11.0</v>
      </c>
      <c r="I24" s="38">
        <v>0.275</v>
      </c>
      <c r="J24" s="10" t="s">
        <v>40</v>
      </c>
      <c r="K24" s="10" t="s">
        <v>66</v>
      </c>
      <c r="L24" s="10">
        <v>1.0</v>
      </c>
    </row>
    <row r="25">
      <c r="A25" s="10" t="s">
        <v>67</v>
      </c>
      <c r="B25" s="10">
        <v>0.0</v>
      </c>
      <c r="C25" s="38">
        <v>0.0</v>
      </c>
      <c r="D25" s="10">
        <v>60.0</v>
      </c>
      <c r="E25" s="38">
        <v>0.1224</v>
      </c>
      <c r="F25" s="10">
        <v>21.0</v>
      </c>
      <c r="G25" s="38">
        <v>0.2121</v>
      </c>
      <c r="H25" s="10">
        <v>6.0</v>
      </c>
      <c r="I25" s="38">
        <v>0.15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31.0</v>
      </c>
      <c r="E26" s="38">
        <v>0.0633</v>
      </c>
      <c r="F26" s="10">
        <v>6.0</v>
      </c>
      <c r="G26" s="38">
        <v>0.0606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144.0</v>
      </c>
      <c r="E27" s="38">
        <v>0.2939</v>
      </c>
      <c r="F27" s="10">
        <v>37.0</v>
      </c>
      <c r="G27" s="38">
        <v>0.3737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114.0</v>
      </c>
      <c r="E28" s="38">
        <v>0.2327</v>
      </c>
      <c r="F28" s="10">
        <v>21.0</v>
      </c>
      <c r="G28" s="38">
        <v>0.2121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21.0</v>
      </c>
      <c r="E29" s="38">
        <v>0.0429</v>
      </c>
      <c r="F29" s="10">
        <v>1.0</v>
      </c>
      <c r="G29" s="38">
        <v>0.0101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138.0</v>
      </c>
      <c r="E32" s="38">
        <v>0.2816</v>
      </c>
      <c r="F32" s="10">
        <v>33.0</v>
      </c>
      <c r="G32" s="38">
        <v>0.3333</v>
      </c>
      <c r="H32" s="10">
        <v>8.0</v>
      </c>
      <c r="I32" s="38">
        <v>0.2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21.0</v>
      </c>
      <c r="E33" s="38">
        <v>0.0429</v>
      </c>
      <c r="F33" s="10">
        <v>1.0</v>
      </c>
      <c r="G33" s="38">
        <v>0.0101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31.0</v>
      </c>
      <c r="E36" s="38">
        <v>0.0633</v>
      </c>
      <c r="F36" s="10">
        <v>9.0</v>
      </c>
      <c r="G36" s="38">
        <v>0.0909</v>
      </c>
      <c r="H36" s="10">
        <v>4.0</v>
      </c>
      <c r="I36" s="38">
        <v>0.1</v>
      </c>
      <c r="J36" s="10" t="s">
        <v>40</v>
      </c>
      <c r="K36" s="10" t="s">
        <v>66</v>
      </c>
      <c r="L36" s="10">
        <v>0.0</v>
      </c>
    </row>
    <row r="37">
      <c r="A37" s="10" t="s">
        <v>8</v>
      </c>
      <c r="D37" s="10">
        <v>273.0</v>
      </c>
      <c r="E37" s="38">
        <v>0.5571</v>
      </c>
      <c r="F37" s="10">
        <v>55.0</v>
      </c>
      <c r="G37" s="38">
        <v>0.5556</v>
      </c>
      <c r="H37" s="10">
        <v>25.0</v>
      </c>
      <c r="I37" s="38">
        <v>0.625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159.0</v>
      </c>
      <c r="E38" s="38">
        <v>0.3245</v>
      </c>
      <c r="F38" s="10">
        <v>32.0</v>
      </c>
      <c r="G38" s="38">
        <v>0.3232</v>
      </c>
      <c r="H38" s="10">
        <v>8.0</v>
      </c>
      <c r="I38" s="38">
        <v>0.2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4.0</v>
      </c>
      <c r="G39" s="38">
        <v>0.0404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213.0</v>
      </c>
      <c r="E40" s="38">
        <v>0.4347</v>
      </c>
      <c r="F40" s="10">
        <v>46.0</v>
      </c>
      <c r="G40" s="38">
        <v>0.4646</v>
      </c>
      <c r="H40" s="10">
        <v>16.0</v>
      </c>
      <c r="I40" s="38">
        <v>0.4</v>
      </c>
      <c r="J40" s="10" t="s">
        <v>40</v>
      </c>
    </row>
    <row r="41">
      <c r="A41" s="10" t="s">
        <v>6</v>
      </c>
      <c r="D41" s="10">
        <v>73.0</v>
      </c>
      <c r="E41" s="38">
        <v>0.149</v>
      </c>
      <c r="F41" s="10">
        <v>19.0</v>
      </c>
      <c r="G41" s="38">
        <v>0.1919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34.0</v>
      </c>
      <c r="E42" s="38">
        <v>0.0694</v>
      </c>
      <c r="F42" s="10">
        <v>3.0</v>
      </c>
      <c r="G42" s="38">
        <v>0.0303</v>
      </c>
      <c r="H42" s="10">
        <v>1.0</v>
      </c>
      <c r="I42" s="38">
        <v>0.025</v>
      </c>
      <c r="J42" s="10" t="s">
        <v>40</v>
      </c>
    </row>
    <row r="43">
      <c r="A43" s="10" t="s">
        <v>80</v>
      </c>
      <c r="D43" s="10">
        <v>59.0</v>
      </c>
      <c r="E43" s="38">
        <v>0.1204</v>
      </c>
      <c r="F43" s="10">
        <v>10.0</v>
      </c>
      <c r="G43" s="38">
        <v>0.101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15.0</v>
      </c>
      <c r="E44" s="38">
        <v>0.0306</v>
      </c>
      <c r="F44" s="10">
        <v>4.0</v>
      </c>
      <c r="G44" s="38">
        <v>0.0404</v>
      </c>
      <c r="H44" s="10">
        <v>3.0</v>
      </c>
      <c r="I44" s="38">
        <v>0.075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12.0</v>
      </c>
      <c r="E45" s="38">
        <v>0.0245</v>
      </c>
      <c r="F45" s="10">
        <v>3.0</v>
      </c>
      <c r="G45" s="38">
        <v>0.0303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0.02443289594</v>
      </c>
      <c r="E46" s="38">
        <v>0.0244</v>
      </c>
      <c r="F46" s="10">
        <v>0.01728261694</v>
      </c>
      <c r="G46" s="38">
        <v>0.0173</v>
      </c>
      <c r="H46" s="10">
        <v>0.02138365399</v>
      </c>
      <c r="I46" s="38">
        <v>0.0214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295.0</v>
      </c>
      <c r="E5" s="38">
        <v>0.602</v>
      </c>
      <c r="F5" s="10">
        <v>71.0</v>
      </c>
      <c r="G5" s="38">
        <v>0.7172</v>
      </c>
      <c r="H5" s="10">
        <v>30.0</v>
      </c>
      <c r="I5" s="38">
        <v>0.75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195.0</v>
      </c>
      <c r="E6" s="38">
        <v>0.398</v>
      </c>
      <c r="F6" s="10">
        <v>28.0</v>
      </c>
      <c r="G6" s="38">
        <v>0.2828</v>
      </c>
      <c r="H6" s="10">
        <v>3.0</v>
      </c>
      <c r="I6" s="38">
        <v>0.075</v>
      </c>
      <c r="J6" s="10" t="s">
        <v>40</v>
      </c>
    </row>
    <row r="7">
      <c r="A7" s="10" t="s">
        <v>47</v>
      </c>
      <c r="D7" s="10">
        <v>146.0</v>
      </c>
      <c r="E7" s="38">
        <v>0.298</v>
      </c>
      <c r="F7" s="10">
        <v>25.0</v>
      </c>
      <c r="G7" s="38">
        <v>0.2525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344.0</v>
      </c>
      <c r="E8" s="38">
        <v>0.702</v>
      </c>
      <c r="F8" s="10">
        <v>76.0</v>
      </c>
      <c r="G8" s="38">
        <v>0.7677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239.0</v>
      </c>
      <c r="E9" s="38">
        <v>0.4878</v>
      </c>
      <c r="F9" s="10">
        <v>57.0</v>
      </c>
      <c r="G9" s="38">
        <v>0.5758</v>
      </c>
      <c r="H9" s="10">
        <v>25.0</v>
      </c>
      <c r="I9" s="38">
        <v>0.625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51.0</v>
      </c>
      <c r="E11" s="38">
        <v>0.1041</v>
      </c>
      <c r="F11" s="10">
        <v>10.0</v>
      </c>
      <c r="G11" s="38">
        <v>0.101</v>
      </c>
      <c r="H11" s="10">
        <v>11.0</v>
      </c>
      <c r="I11" s="38">
        <v>0.275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239.0</v>
      </c>
      <c r="E12" s="38">
        <v>0.4878</v>
      </c>
      <c r="F12" s="10">
        <v>56.0</v>
      </c>
      <c r="G12" s="38">
        <v>0.5657</v>
      </c>
      <c r="H12" s="10">
        <v>23.0</v>
      </c>
      <c r="I12" s="38">
        <v>0.575</v>
      </c>
      <c r="J12" s="10" t="s">
        <v>40</v>
      </c>
      <c r="K12" s="10" t="s">
        <v>79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62.0</v>
      </c>
      <c r="E13" s="38">
        <v>0.1265</v>
      </c>
      <c r="F13" s="10">
        <v>16.0</v>
      </c>
      <c r="G13" s="38">
        <v>0.1616</v>
      </c>
      <c r="H13" s="10">
        <v>13.0</v>
      </c>
      <c r="I13" s="38">
        <v>0.325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77.0</v>
      </c>
      <c r="E14" s="38">
        <v>0.1571</v>
      </c>
      <c r="F14" s="10">
        <v>15.0</v>
      </c>
      <c r="G14" s="38">
        <v>0.1515</v>
      </c>
      <c r="H14" s="10">
        <v>3.0</v>
      </c>
      <c r="I14" s="38">
        <v>0.075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17.0</v>
      </c>
      <c r="E18" s="38">
        <v>0.0347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61.0</v>
      </c>
      <c r="E19" s="38">
        <v>0.1245</v>
      </c>
      <c r="F19" s="10">
        <v>9.0</v>
      </c>
      <c r="G19" s="38">
        <v>0.0909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4.0</v>
      </c>
      <c r="E20" s="38">
        <v>0.0082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233.0</v>
      </c>
      <c r="E22" s="38">
        <v>0.4755</v>
      </c>
      <c r="F22" s="10">
        <v>43.0</v>
      </c>
      <c r="G22" s="38">
        <v>0.4343</v>
      </c>
      <c r="H22" s="10">
        <v>22.0</v>
      </c>
      <c r="I22" s="38">
        <v>0.55</v>
      </c>
      <c r="J22" s="10" t="s">
        <v>40</v>
      </c>
    </row>
    <row r="23">
      <c r="A23" s="10" t="s">
        <v>64</v>
      </c>
      <c r="D23" s="10">
        <v>211.0</v>
      </c>
      <c r="E23" s="38">
        <v>0.4306</v>
      </c>
      <c r="F23" s="10">
        <v>42.0</v>
      </c>
      <c r="G23" s="38">
        <v>0.4242</v>
      </c>
      <c r="H23" s="10">
        <v>12.0</v>
      </c>
      <c r="I23" s="38">
        <v>0.3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78.0</v>
      </c>
      <c r="E24" s="38">
        <v>0.1592</v>
      </c>
      <c r="F24" s="10">
        <v>15.0</v>
      </c>
      <c r="G24" s="38">
        <v>0.1515</v>
      </c>
      <c r="H24" s="10">
        <v>18.0</v>
      </c>
      <c r="I24" s="38">
        <v>0.45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81.0</v>
      </c>
      <c r="E25" s="38">
        <v>0.1653</v>
      </c>
      <c r="F25" s="10">
        <v>25.0</v>
      </c>
      <c r="G25" s="38">
        <v>0.2525</v>
      </c>
      <c r="H25" s="10">
        <v>7.0</v>
      </c>
      <c r="I25" s="38">
        <v>0.175</v>
      </c>
      <c r="J25" s="10" t="s">
        <v>40</v>
      </c>
      <c r="K25" s="10" t="s">
        <v>66</v>
      </c>
    </row>
    <row r="26">
      <c r="A26" s="10" t="s">
        <v>68</v>
      </c>
      <c r="B26" s="10">
        <v>0.0</v>
      </c>
      <c r="C26" s="38">
        <v>0.0</v>
      </c>
      <c r="D26" s="10">
        <v>80.0</v>
      </c>
      <c r="E26" s="38">
        <v>0.1633</v>
      </c>
      <c r="F26" s="10">
        <v>16.0</v>
      </c>
      <c r="G26" s="38">
        <v>0.1616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138.0</v>
      </c>
      <c r="E27" s="38">
        <v>0.2816</v>
      </c>
      <c r="F27" s="10">
        <v>34.0</v>
      </c>
      <c r="G27" s="38">
        <v>0.3434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87.0</v>
      </c>
      <c r="E28" s="38">
        <v>0.1776</v>
      </c>
      <c r="F28" s="10">
        <v>19.0</v>
      </c>
      <c r="G28" s="38">
        <v>0.1919</v>
      </c>
      <c r="H28" s="10">
        <v>3.0</v>
      </c>
      <c r="I28" s="38">
        <v>0.075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26.0</v>
      </c>
      <c r="E29" s="38">
        <v>0.0531</v>
      </c>
      <c r="F29" s="10">
        <v>3.0</v>
      </c>
      <c r="G29" s="38">
        <v>0.0303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128.0</v>
      </c>
      <c r="E32" s="38">
        <v>0.2612</v>
      </c>
      <c r="F32" s="10">
        <v>36.0</v>
      </c>
      <c r="G32" s="38">
        <v>0.3636</v>
      </c>
      <c r="H32" s="10">
        <v>9.0</v>
      </c>
      <c r="I32" s="38">
        <v>0.225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26.0</v>
      </c>
      <c r="E33" s="38">
        <v>0.0531</v>
      </c>
      <c r="F33" s="10">
        <v>4.0</v>
      </c>
      <c r="G33" s="38">
        <v>0.0404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20.0</v>
      </c>
      <c r="E36" s="38">
        <v>0.0408</v>
      </c>
      <c r="F36" s="10">
        <v>6.0</v>
      </c>
      <c r="G36" s="38">
        <v>0.0606</v>
      </c>
      <c r="H36" s="10">
        <v>4.0</v>
      </c>
      <c r="I36" s="38">
        <v>0.1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247.0</v>
      </c>
      <c r="E37" s="38">
        <v>0.5041</v>
      </c>
      <c r="F37" s="10">
        <v>41.0</v>
      </c>
      <c r="G37" s="38">
        <v>0.4141</v>
      </c>
      <c r="H37" s="10">
        <v>25.0</v>
      </c>
      <c r="I37" s="38">
        <v>0.625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137.0</v>
      </c>
      <c r="E38" s="38">
        <v>0.2796</v>
      </c>
      <c r="F38" s="10">
        <v>34.0</v>
      </c>
      <c r="G38" s="38">
        <v>0.3434</v>
      </c>
      <c r="H38" s="10">
        <v>8.0</v>
      </c>
      <c r="I38" s="38">
        <v>0.2</v>
      </c>
      <c r="J38" s="10" t="s">
        <v>40</v>
      </c>
      <c r="K38" s="10" t="s">
        <v>43</v>
      </c>
    </row>
    <row r="39">
      <c r="A39" s="10" t="s">
        <v>78</v>
      </c>
      <c r="D39" s="10">
        <v>9.0</v>
      </c>
      <c r="E39" s="38">
        <v>0.0184</v>
      </c>
      <c r="F39" s="10">
        <v>5.0</v>
      </c>
      <c r="G39" s="38">
        <v>0.0505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236.0</v>
      </c>
      <c r="E40" s="38">
        <v>0.4816</v>
      </c>
      <c r="F40" s="10">
        <v>59.0</v>
      </c>
      <c r="G40" s="38">
        <v>0.596</v>
      </c>
      <c r="H40" s="10">
        <v>16.0</v>
      </c>
      <c r="I40" s="38">
        <v>0.4</v>
      </c>
      <c r="J40" s="10" t="s">
        <v>40</v>
      </c>
    </row>
    <row r="41">
      <c r="A41" s="10" t="s">
        <v>6</v>
      </c>
      <c r="D41" s="10">
        <v>85.0</v>
      </c>
      <c r="E41" s="38">
        <v>0.1735</v>
      </c>
      <c r="F41" s="10">
        <v>22.0</v>
      </c>
      <c r="G41" s="38">
        <v>0.2222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43.0</v>
      </c>
      <c r="E42" s="38">
        <v>0.0878</v>
      </c>
      <c r="F42" s="10">
        <v>8.0</v>
      </c>
      <c r="G42" s="38">
        <v>0.0808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64.0</v>
      </c>
      <c r="E43" s="38">
        <v>0.1306</v>
      </c>
      <c r="F43" s="10">
        <v>11.0</v>
      </c>
      <c r="G43" s="38">
        <v>0.1111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11.0</v>
      </c>
      <c r="E44" s="38">
        <v>0.0224</v>
      </c>
      <c r="F44" s="10">
        <v>3.0</v>
      </c>
      <c r="G44" s="38">
        <v>0.0303</v>
      </c>
      <c r="H44" s="10">
        <v>4.0</v>
      </c>
      <c r="I44" s="38">
        <v>0.1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17.0</v>
      </c>
      <c r="E45" s="38">
        <v>0.0347</v>
      </c>
      <c r="F45" s="10">
        <v>5.0</v>
      </c>
      <c r="G45" s="38">
        <v>0.0505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0.01159116217</v>
      </c>
      <c r="E46" s="38">
        <v>0.0116</v>
      </c>
      <c r="F46" s="10">
        <v>-0.004885169895</v>
      </c>
      <c r="G46" s="38">
        <v>-0.0049</v>
      </c>
      <c r="H46" s="10">
        <v>0.01785028973</v>
      </c>
      <c r="I46" s="38">
        <v>0.0179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292.0</v>
      </c>
      <c r="E5" s="38">
        <v>0.5959</v>
      </c>
      <c r="F5" s="10">
        <v>70.0</v>
      </c>
      <c r="G5" s="38">
        <v>0.7071</v>
      </c>
      <c r="H5" s="10">
        <v>29.0</v>
      </c>
      <c r="I5" s="38">
        <v>0.725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198.0</v>
      </c>
      <c r="E6" s="38">
        <v>0.4041</v>
      </c>
      <c r="F6" s="10">
        <v>29.0</v>
      </c>
      <c r="G6" s="38">
        <v>0.2929</v>
      </c>
      <c r="H6" s="10">
        <v>4.0</v>
      </c>
      <c r="I6" s="38">
        <v>0.1</v>
      </c>
      <c r="J6" s="10" t="s">
        <v>40</v>
      </c>
    </row>
    <row r="7">
      <c r="A7" s="10" t="s">
        <v>47</v>
      </c>
      <c r="D7" s="10">
        <v>143.0</v>
      </c>
      <c r="E7" s="38">
        <v>0.2918</v>
      </c>
      <c r="F7" s="10">
        <v>29.0</v>
      </c>
      <c r="G7" s="38">
        <v>0.2929</v>
      </c>
      <c r="H7" s="10">
        <v>4.0</v>
      </c>
      <c r="I7" s="38">
        <v>0.1</v>
      </c>
      <c r="J7" s="10" t="s">
        <v>40</v>
      </c>
      <c r="L7" s="10">
        <v>0.0</v>
      </c>
    </row>
    <row r="8">
      <c r="A8" s="10" t="s">
        <v>48</v>
      </c>
      <c r="D8" s="10">
        <v>347.0</v>
      </c>
      <c r="E8" s="38">
        <v>0.7082</v>
      </c>
      <c r="F8" s="10">
        <v>72.0</v>
      </c>
      <c r="G8" s="38">
        <v>0.7273</v>
      </c>
      <c r="H8" s="10">
        <v>29.0</v>
      </c>
      <c r="I8" s="38">
        <v>0.725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241.0</v>
      </c>
      <c r="E9" s="38">
        <v>0.4918</v>
      </c>
      <c r="F9" s="10">
        <v>57.0</v>
      </c>
      <c r="G9" s="38">
        <v>0.5758</v>
      </c>
      <c r="H9" s="10">
        <v>24.0</v>
      </c>
      <c r="I9" s="38">
        <v>0.6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44.0</v>
      </c>
      <c r="E11" s="38">
        <v>0.0898</v>
      </c>
      <c r="F11" s="10">
        <v>6.0</v>
      </c>
      <c r="G11" s="38">
        <v>0.0606</v>
      </c>
      <c r="H11" s="10">
        <v>10.0</v>
      </c>
      <c r="I11" s="38">
        <v>0.25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254.0</v>
      </c>
      <c r="E12" s="38">
        <v>0.5184</v>
      </c>
      <c r="F12" s="10">
        <v>64.0</v>
      </c>
      <c r="G12" s="38">
        <v>0.6465</v>
      </c>
      <c r="H12" s="10">
        <v>28.0</v>
      </c>
      <c r="I12" s="38">
        <v>0.7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64.0</v>
      </c>
      <c r="E13" s="38">
        <v>0.1306</v>
      </c>
      <c r="F13" s="10">
        <v>15.0</v>
      </c>
      <c r="G13" s="38">
        <v>0.1515</v>
      </c>
      <c r="H13" s="10">
        <v>13.0</v>
      </c>
      <c r="I13" s="38">
        <v>0.325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71.0</v>
      </c>
      <c r="E14" s="38">
        <v>0.1449</v>
      </c>
      <c r="F14" s="10">
        <v>9.0</v>
      </c>
      <c r="G14" s="38">
        <v>0.0909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18.0</v>
      </c>
      <c r="E18" s="38">
        <v>0.0367</v>
      </c>
      <c r="F18" s="10">
        <v>0.0</v>
      </c>
      <c r="G18" s="38">
        <v>0.0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37.0</v>
      </c>
      <c r="E19" s="38">
        <v>0.0755</v>
      </c>
      <c r="F19" s="10">
        <v>7.0</v>
      </c>
      <c r="G19" s="38">
        <v>0.0707</v>
      </c>
      <c r="H19" s="10">
        <v>1.0</v>
      </c>
      <c r="I19" s="38">
        <v>0.025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4.0</v>
      </c>
      <c r="E21" s="38">
        <v>0.0082</v>
      </c>
      <c r="F21" s="10">
        <v>0.0</v>
      </c>
      <c r="G21" s="38">
        <v>0.0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238.0</v>
      </c>
      <c r="E22" s="38">
        <v>0.4857</v>
      </c>
      <c r="F22" s="10">
        <v>52.0</v>
      </c>
      <c r="G22" s="38">
        <v>0.5253</v>
      </c>
      <c r="H22" s="10">
        <v>19.0</v>
      </c>
      <c r="I22" s="38">
        <v>0.475</v>
      </c>
      <c r="J22" s="10" t="s">
        <v>40</v>
      </c>
    </row>
    <row r="23">
      <c r="A23" s="10" t="s">
        <v>64</v>
      </c>
      <c r="D23" s="10">
        <v>202.0</v>
      </c>
      <c r="E23" s="38">
        <v>0.4122</v>
      </c>
      <c r="F23" s="10">
        <v>33.0</v>
      </c>
      <c r="G23" s="38">
        <v>0.3333</v>
      </c>
      <c r="H23" s="10">
        <v>9.0</v>
      </c>
      <c r="I23" s="38">
        <v>0.225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68.0</v>
      </c>
      <c r="E24" s="38">
        <v>0.1388</v>
      </c>
      <c r="F24" s="10">
        <v>6.0</v>
      </c>
      <c r="G24" s="38">
        <v>0.0606</v>
      </c>
      <c r="H24" s="10">
        <v>5.0</v>
      </c>
      <c r="I24" s="38">
        <v>0.125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115.0</v>
      </c>
      <c r="E25" s="38">
        <v>0.2347</v>
      </c>
      <c r="F25" s="10">
        <v>40.0</v>
      </c>
      <c r="G25" s="38">
        <v>0.404</v>
      </c>
      <c r="H25" s="10">
        <v>20.0</v>
      </c>
      <c r="I25" s="38">
        <v>0.5</v>
      </c>
      <c r="J25" s="10" t="s">
        <v>40</v>
      </c>
      <c r="K25" s="10" t="s">
        <v>43</v>
      </c>
    </row>
    <row r="26">
      <c r="A26" s="10" t="s">
        <v>68</v>
      </c>
      <c r="B26" s="10">
        <v>0.0</v>
      </c>
      <c r="C26" s="38">
        <v>0.0</v>
      </c>
      <c r="D26" s="10">
        <v>98.0</v>
      </c>
      <c r="E26" s="38">
        <v>0.2</v>
      </c>
      <c r="F26" s="10">
        <v>28.0</v>
      </c>
      <c r="G26" s="38">
        <v>0.2828</v>
      </c>
      <c r="H26" s="10">
        <v>1.0</v>
      </c>
      <c r="I26" s="38">
        <v>0.025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141.0</v>
      </c>
      <c r="E27" s="38">
        <v>0.2878</v>
      </c>
      <c r="F27" s="10">
        <v>40.0</v>
      </c>
      <c r="G27" s="38">
        <v>0.404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82.0</v>
      </c>
      <c r="E28" s="38">
        <v>0.1673</v>
      </c>
      <c r="F28" s="10">
        <v>15.0</v>
      </c>
      <c r="G28" s="38">
        <v>0.1515</v>
      </c>
      <c r="H28" s="10">
        <v>1.0</v>
      </c>
      <c r="I28" s="38">
        <v>0.025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28.0</v>
      </c>
      <c r="E29" s="38">
        <v>0.0571</v>
      </c>
      <c r="F29" s="10">
        <v>9.0</v>
      </c>
      <c r="G29" s="38">
        <v>0.0909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121.0</v>
      </c>
      <c r="E32" s="38">
        <v>0.2469</v>
      </c>
      <c r="F32" s="10">
        <v>28.0</v>
      </c>
      <c r="G32" s="38">
        <v>0.2828</v>
      </c>
      <c r="H32" s="10">
        <v>8.0</v>
      </c>
      <c r="I32" s="38">
        <v>0.2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28.0</v>
      </c>
      <c r="E33" s="38">
        <v>0.0571</v>
      </c>
      <c r="F33" s="10">
        <v>8.0</v>
      </c>
      <c r="G33" s="38">
        <v>0.0808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20.0</v>
      </c>
      <c r="E36" s="38">
        <v>0.0408</v>
      </c>
      <c r="F36" s="10">
        <v>7.0</v>
      </c>
      <c r="G36" s="38">
        <v>0.0707</v>
      </c>
      <c r="H36" s="10">
        <v>4.0</v>
      </c>
      <c r="I36" s="38">
        <v>0.1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236.0</v>
      </c>
      <c r="E37" s="38">
        <v>0.4816</v>
      </c>
      <c r="F37" s="10">
        <v>36.0</v>
      </c>
      <c r="G37" s="38">
        <v>0.3636</v>
      </c>
      <c r="H37" s="10">
        <v>22.0</v>
      </c>
      <c r="I37" s="38">
        <v>0.55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130.0</v>
      </c>
      <c r="E38" s="38">
        <v>0.2653</v>
      </c>
      <c r="F38" s="10">
        <v>27.0</v>
      </c>
      <c r="G38" s="38">
        <v>0.2727</v>
      </c>
      <c r="H38" s="10">
        <v>5.0</v>
      </c>
      <c r="I38" s="38">
        <v>0.125</v>
      </c>
      <c r="J38" s="10" t="s">
        <v>40</v>
      </c>
      <c r="K38" s="10" t="s">
        <v>43</v>
      </c>
    </row>
    <row r="39">
      <c r="A39" s="10" t="s">
        <v>78</v>
      </c>
      <c r="D39" s="10">
        <v>7.0</v>
      </c>
      <c r="E39" s="38">
        <v>0.0143</v>
      </c>
      <c r="F39" s="10">
        <v>2.0</v>
      </c>
      <c r="G39" s="38">
        <v>0.0202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246.0</v>
      </c>
      <c r="E40" s="38">
        <v>0.502</v>
      </c>
      <c r="F40" s="10">
        <v>64.0</v>
      </c>
      <c r="G40" s="38">
        <v>0.6465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88.0</v>
      </c>
      <c r="E41" s="38">
        <v>0.1796</v>
      </c>
      <c r="F41" s="10">
        <v>21.0</v>
      </c>
      <c r="G41" s="38">
        <v>0.2121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44.0</v>
      </c>
      <c r="E42" s="38">
        <v>0.0898</v>
      </c>
      <c r="F42" s="10">
        <v>12.0</v>
      </c>
      <c r="G42" s="38">
        <v>0.1212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59.0</v>
      </c>
      <c r="E43" s="38">
        <v>0.1204</v>
      </c>
      <c r="F43" s="10">
        <v>14.0</v>
      </c>
      <c r="G43" s="38">
        <v>0.1414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14.0</v>
      </c>
      <c r="E44" s="38">
        <v>0.0286</v>
      </c>
      <c r="F44" s="10">
        <v>3.0</v>
      </c>
      <c r="G44" s="38">
        <v>0.0303</v>
      </c>
      <c r="H44" s="10">
        <v>3.0</v>
      </c>
      <c r="I44" s="38">
        <v>0.075</v>
      </c>
      <c r="J44" s="10" t="s">
        <v>40</v>
      </c>
      <c r="K44" s="10" t="s">
        <v>66</v>
      </c>
      <c r="L44" s="10">
        <v>0.0</v>
      </c>
    </row>
    <row r="45">
      <c r="A45" s="10" t="s">
        <v>11</v>
      </c>
      <c r="D45" s="10">
        <v>25.0</v>
      </c>
      <c r="E45" s="38">
        <v>0.051</v>
      </c>
      <c r="F45" s="10">
        <v>11.0</v>
      </c>
      <c r="G45" s="38">
        <v>0.1111</v>
      </c>
      <c r="H45" s="10">
        <v>3.0</v>
      </c>
      <c r="I45" s="38">
        <v>0.075</v>
      </c>
      <c r="J45" s="10" t="s">
        <v>40</v>
      </c>
      <c r="K45" s="10" t="s">
        <v>81</v>
      </c>
    </row>
    <row r="46">
      <c r="A46" s="10" t="s">
        <v>83</v>
      </c>
      <c r="D46" s="10">
        <v>0.009820650337</v>
      </c>
      <c r="E46" s="38">
        <v>0.0098</v>
      </c>
      <c r="F46" s="10">
        <v>-0.01055599498</v>
      </c>
      <c r="G46" s="38">
        <v>-0.0106</v>
      </c>
      <c r="H46" s="10">
        <v>0.003924164961</v>
      </c>
      <c r="I46" s="38">
        <v>0.0039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288.0</v>
      </c>
      <c r="E5" s="38">
        <v>0.5878</v>
      </c>
      <c r="F5" s="10">
        <v>67.0</v>
      </c>
      <c r="G5" s="38">
        <v>0.6768</v>
      </c>
      <c r="H5" s="10">
        <v>28.0</v>
      </c>
      <c r="I5" s="38">
        <v>0.7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202.0</v>
      </c>
      <c r="E6" s="38">
        <v>0.4122</v>
      </c>
      <c r="F6" s="10">
        <v>32.0</v>
      </c>
      <c r="G6" s="38">
        <v>0.3232</v>
      </c>
      <c r="H6" s="10">
        <v>5.0</v>
      </c>
      <c r="I6" s="38">
        <v>0.125</v>
      </c>
      <c r="J6" s="10" t="s">
        <v>40</v>
      </c>
    </row>
    <row r="7">
      <c r="A7" s="10" t="s">
        <v>47</v>
      </c>
      <c r="D7" s="10">
        <v>142.0</v>
      </c>
      <c r="E7" s="38">
        <v>0.2898</v>
      </c>
      <c r="F7" s="10">
        <v>27.0</v>
      </c>
      <c r="G7" s="38">
        <v>0.2727</v>
      </c>
      <c r="H7" s="10">
        <v>5.0</v>
      </c>
      <c r="I7" s="38">
        <v>0.125</v>
      </c>
      <c r="J7" s="10" t="s">
        <v>40</v>
      </c>
      <c r="L7" s="10">
        <v>0.0</v>
      </c>
    </row>
    <row r="8">
      <c r="A8" s="10" t="s">
        <v>48</v>
      </c>
      <c r="D8" s="10">
        <v>348.0</v>
      </c>
      <c r="E8" s="38">
        <v>0.7102</v>
      </c>
      <c r="F8" s="10">
        <v>74.0</v>
      </c>
      <c r="G8" s="38">
        <v>0.7475</v>
      </c>
      <c r="H8" s="10">
        <v>28.0</v>
      </c>
      <c r="I8" s="38">
        <v>0.7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239.0</v>
      </c>
      <c r="E9" s="38">
        <v>0.4878</v>
      </c>
      <c r="F9" s="10">
        <v>54.0</v>
      </c>
      <c r="G9" s="38">
        <v>0.5455</v>
      </c>
      <c r="H9" s="10">
        <v>24.0</v>
      </c>
      <c r="I9" s="38">
        <v>0.6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3.0</v>
      </c>
      <c r="E10" s="38">
        <v>0.0061</v>
      </c>
      <c r="F10" s="10">
        <v>2.0</v>
      </c>
      <c r="G10" s="38">
        <v>0.0202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34.0</v>
      </c>
      <c r="E11" s="38">
        <v>0.0694</v>
      </c>
      <c r="F11" s="10">
        <v>8.0</v>
      </c>
      <c r="G11" s="38">
        <v>0.0808</v>
      </c>
      <c r="H11" s="10">
        <v>4.0</v>
      </c>
      <c r="I11" s="38">
        <v>0.1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292.0</v>
      </c>
      <c r="E12" s="38">
        <v>0.5959</v>
      </c>
      <c r="F12" s="10">
        <v>70.0</v>
      </c>
      <c r="G12" s="38">
        <v>0.7071</v>
      </c>
      <c r="H12" s="10">
        <v>28.0</v>
      </c>
      <c r="I12" s="38">
        <v>0.7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61.0</v>
      </c>
      <c r="E13" s="38">
        <v>0.1245</v>
      </c>
      <c r="F13" s="10">
        <v>16.0</v>
      </c>
      <c r="G13" s="38">
        <v>0.1616</v>
      </c>
      <c r="H13" s="10">
        <v>11.0</v>
      </c>
      <c r="I13" s="38">
        <v>0.275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61.0</v>
      </c>
      <c r="E14" s="38">
        <v>0.1245</v>
      </c>
      <c r="F14" s="10">
        <v>9.0</v>
      </c>
      <c r="G14" s="38">
        <v>0.0909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24.0</v>
      </c>
      <c r="E18" s="38">
        <v>0.049</v>
      </c>
      <c r="F18" s="10">
        <v>4.0</v>
      </c>
      <c r="G18" s="38">
        <v>0.0404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40.0</v>
      </c>
      <c r="E19" s="38">
        <v>0.0816</v>
      </c>
      <c r="F19" s="10">
        <v>6.0</v>
      </c>
      <c r="G19" s="38">
        <v>0.0606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3.0</v>
      </c>
      <c r="E21" s="38">
        <v>0.0061</v>
      </c>
      <c r="F21" s="10">
        <v>4.0</v>
      </c>
      <c r="G21" s="38">
        <v>0.0404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263.0</v>
      </c>
      <c r="E22" s="38">
        <v>0.5367</v>
      </c>
      <c r="F22" s="10">
        <v>46.0</v>
      </c>
      <c r="G22" s="38">
        <v>0.4646</v>
      </c>
      <c r="H22" s="10">
        <v>20.0</v>
      </c>
      <c r="I22" s="38">
        <v>0.5</v>
      </c>
      <c r="J22" s="10" t="s">
        <v>40</v>
      </c>
    </row>
    <row r="23">
      <c r="A23" s="10" t="s">
        <v>64</v>
      </c>
      <c r="D23" s="10">
        <v>196.0</v>
      </c>
      <c r="E23" s="38">
        <v>0.4</v>
      </c>
      <c r="F23" s="10">
        <v>44.0</v>
      </c>
      <c r="G23" s="38">
        <v>0.4444</v>
      </c>
      <c r="H23" s="10">
        <v>11.0</v>
      </c>
      <c r="I23" s="38">
        <v>0.275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62.0</v>
      </c>
      <c r="E24" s="38">
        <v>0.1265</v>
      </c>
      <c r="F24" s="10">
        <v>16.0</v>
      </c>
      <c r="G24" s="38">
        <v>0.1616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147.0</v>
      </c>
      <c r="E25" s="38">
        <v>0.3</v>
      </c>
      <c r="F25" s="10">
        <v>38.0</v>
      </c>
      <c r="G25" s="38">
        <v>0.3838</v>
      </c>
      <c r="H25" s="10">
        <v>28.0</v>
      </c>
      <c r="I25" s="38">
        <v>0.7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160.0</v>
      </c>
      <c r="E26" s="38">
        <v>0.3265</v>
      </c>
      <c r="F26" s="10">
        <v>37.0</v>
      </c>
      <c r="G26" s="38">
        <v>0.3737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127.0</v>
      </c>
      <c r="E27" s="38">
        <v>0.2592</v>
      </c>
      <c r="F27" s="10">
        <v>29.0</v>
      </c>
      <c r="G27" s="38">
        <v>0.2929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68.0</v>
      </c>
      <c r="E28" s="38">
        <v>0.1388</v>
      </c>
      <c r="F28" s="10">
        <v>11.0</v>
      </c>
      <c r="G28" s="38">
        <v>0.1111</v>
      </c>
      <c r="H28" s="10">
        <v>0.0</v>
      </c>
      <c r="I28" s="38">
        <v>0.0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25.0</v>
      </c>
      <c r="E29" s="38">
        <v>0.051</v>
      </c>
      <c r="F29" s="10">
        <v>9.0</v>
      </c>
      <c r="G29" s="38">
        <v>0.0909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104.0</v>
      </c>
      <c r="E32" s="38">
        <v>0.2122</v>
      </c>
      <c r="F32" s="10">
        <v>23.0</v>
      </c>
      <c r="G32" s="38">
        <v>0.2323</v>
      </c>
      <c r="H32" s="10">
        <v>8.0</v>
      </c>
      <c r="I32" s="38">
        <v>0.2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26.0</v>
      </c>
      <c r="E33" s="38">
        <v>0.0531</v>
      </c>
      <c r="F33" s="10">
        <v>9.0</v>
      </c>
      <c r="G33" s="38">
        <v>0.0909</v>
      </c>
      <c r="H33" s="10">
        <v>2.0</v>
      </c>
      <c r="I33" s="38">
        <v>0.05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13.0</v>
      </c>
      <c r="E36" s="38">
        <v>0.0265</v>
      </c>
      <c r="F36" s="10">
        <v>4.0</v>
      </c>
      <c r="G36" s="38">
        <v>0.0404</v>
      </c>
      <c r="H36" s="10">
        <v>3.0</v>
      </c>
      <c r="I36" s="38">
        <v>0.075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238.0</v>
      </c>
      <c r="E37" s="38">
        <v>0.4857</v>
      </c>
      <c r="F37" s="10">
        <v>40.0</v>
      </c>
      <c r="G37" s="38">
        <v>0.404</v>
      </c>
      <c r="H37" s="10">
        <v>23.0</v>
      </c>
      <c r="I37" s="38">
        <v>0.575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110.0</v>
      </c>
      <c r="E38" s="38">
        <v>0.2245</v>
      </c>
      <c r="F38" s="10">
        <v>22.0</v>
      </c>
      <c r="G38" s="38">
        <v>0.2222</v>
      </c>
      <c r="H38" s="10">
        <v>10.0</v>
      </c>
      <c r="I38" s="38">
        <v>0.25</v>
      </c>
      <c r="J38" s="10" t="s">
        <v>40</v>
      </c>
      <c r="K38" s="10" t="s">
        <v>43</v>
      </c>
    </row>
    <row r="39">
      <c r="A39" s="10" t="s">
        <v>78</v>
      </c>
      <c r="D39" s="10">
        <v>2.0</v>
      </c>
      <c r="E39" s="38">
        <v>0.0041</v>
      </c>
      <c r="F39" s="10">
        <v>1.0</v>
      </c>
      <c r="G39" s="38">
        <v>0.0101</v>
      </c>
      <c r="H39" s="10">
        <v>1.0</v>
      </c>
      <c r="I39" s="38">
        <v>0.025</v>
      </c>
      <c r="J39" s="10" t="s">
        <v>40</v>
      </c>
      <c r="K39" s="10" t="s">
        <v>43</v>
      </c>
    </row>
    <row r="40">
      <c r="A40" s="10" t="s">
        <v>9</v>
      </c>
      <c r="D40" s="10">
        <v>244.0</v>
      </c>
      <c r="E40" s="38">
        <v>0.498</v>
      </c>
      <c r="F40" s="10">
        <v>58.0</v>
      </c>
      <c r="G40" s="38">
        <v>0.5859</v>
      </c>
      <c r="H40" s="10">
        <v>18.0</v>
      </c>
      <c r="I40" s="38">
        <v>0.45</v>
      </c>
      <c r="J40" s="10" t="s">
        <v>40</v>
      </c>
    </row>
    <row r="41">
      <c r="A41" s="10" t="s">
        <v>6</v>
      </c>
      <c r="D41" s="10">
        <v>90.0</v>
      </c>
      <c r="E41" s="38">
        <v>0.1837</v>
      </c>
      <c r="F41" s="10">
        <v>21.0</v>
      </c>
      <c r="G41" s="38">
        <v>0.2121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40.0</v>
      </c>
      <c r="E42" s="38">
        <v>0.0816</v>
      </c>
      <c r="F42" s="10">
        <v>11.0</v>
      </c>
      <c r="G42" s="38">
        <v>0.1111</v>
      </c>
      <c r="H42" s="10">
        <v>4.0</v>
      </c>
      <c r="I42" s="38">
        <v>0.1</v>
      </c>
      <c r="J42" s="10" t="s">
        <v>40</v>
      </c>
    </row>
    <row r="43">
      <c r="A43" s="10" t="s">
        <v>80</v>
      </c>
      <c r="D43" s="10">
        <v>53.0</v>
      </c>
      <c r="E43" s="38">
        <v>0.1082</v>
      </c>
      <c r="F43" s="10">
        <v>13.0</v>
      </c>
      <c r="G43" s="38">
        <v>0.1313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5.0</v>
      </c>
      <c r="E44" s="38">
        <v>0.0102</v>
      </c>
      <c r="F44" s="10">
        <v>2.0</v>
      </c>
      <c r="G44" s="38">
        <v>0.0202</v>
      </c>
      <c r="H44" s="10">
        <v>2.0</v>
      </c>
      <c r="I44" s="38">
        <v>0.05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23.0</v>
      </c>
      <c r="E45" s="38">
        <v>0.0469</v>
      </c>
      <c r="F45" s="10">
        <v>9.0</v>
      </c>
      <c r="G45" s="38">
        <v>0.0909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>
        <v>0.01214493856</v>
      </c>
      <c r="E46" s="38">
        <v>0.0121</v>
      </c>
      <c r="F46" s="10">
        <v>7.041113953E-4</v>
      </c>
      <c r="G46" s="38">
        <v>7.0E-4</v>
      </c>
      <c r="H46" s="10">
        <v>0.01179304784</v>
      </c>
      <c r="I46" s="38">
        <v>0.0118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304.0</v>
      </c>
      <c r="E3" s="38">
        <v>0.6204</v>
      </c>
      <c r="F3" s="10">
        <v>57.0</v>
      </c>
      <c r="G3" s="38">
        <v>0.5758</v>
      </c>
      <c r="H3" s="10">
        <v>24.0</v>
      </c>
      <c r="I3" s="38">
        <v>0.6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179.0</v>
      </c>
      <c r="E4" s="38">
        <v>0.3653</v>
      </c>
      <c r="F4" s="10">
        <v>42.0</v>
      </c>
      <c r="G4" s="38">
        <v>0.4242</v>
      </c>
      <c r="H4" s="10">
        <v>9.0</v>
      </c>
      <c r="I4" s="38">
        <v>0.225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285.0</v>
      </c>
      <c r="E5" s="38">
        <v>0.5816</v>
      </c>
      <c r="F5" s="10">
        <v>68.0</v>
      </c>
      <c r="G5" s="38">
        <v>0.6869</v>
      </c>
      <c r="H5" s="10">
        <v>27.0</v>
      </c>
      <c r="I5" s="38">
        <v>0.675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205.0</v>
      </c>
      <c r="E6" s="38">
        <v>0.4184</v>
      </c>
      <c r="F6" s="10">
        <v>31.0</v>
      </c>
      <c r="G6" s="38">
        <v>0.3131</v>
      </c>
      <c r="H6" s="10">
        <v>6.0</v>
      </c>
      <c r="I6" s="38">
        <v>0.15</v>
      </c>
      <c r="J6" s="10" t="s">
        <v>40</v>
      </c>
    </row>
    <row r="7">
      <c r="A7" s="10" t="s">
        <v>47</v>
      </c>
      <c r="D7" s="10">
        <v>156.0</v>
      </c>
      <c r="E7" s="38">
        <v>0.3184</v>
      </c>
      <c r="F7" s="10">
        <v>31.0</v>
      </c>
      <c r="G7" s="38">
        <v>0.3131</v>
      </c>
      <c r="H7" s="10">
        <v>6.0</v>
      </c>
      <c r="I7" s="38">
        <v>0.15</v>
      </c>
      <c r="J7" s="10" t="s">
        <v>40</v>
      </c>
      <c r="L7" s="10">
        <v>0.0</v>
      </c>
    </row>
    <row r="8">
      <c r="A8" s="10" t="s">
        <v>48</v>
      </c>
      <c r="D8" s="10">
        <v>334.0</v>
      </c>
      <c r="E8" s="38">
        <v>0.6816</v>
      </c>
      <c r="F8" s="10">
        <v>70.0</v>
      </c>
      <c r="G8" s="38">
        <v>0.7071</v>
      </c>
      <c r="H8" s="10">
        <v>27.0</v>
      </c>
      <c r="I8" s="38">
        <v>0.675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234.0</v>
      </c>
      <c r="E9" s="38">
        <v>0.4776</v>
      </c>
      <c r="F9" s="10">
        <v>51.0</v>
      </c>
      <c r="G9" s="38">
        <v>0.5152</v>
      </c>
      <c r="H9" s="10">
        <v>26.0</v>
      </c>
      <c r="I9" s="38">
        <v>0.65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40.0</v>
      </c>
      <c r="E11" s="38">
        <v>0.0816</v>
      </c>
      <c r="F11" s="10">
        <v>7.0</v>
      </c>
      <c r="G11" s="38">
        <v>0.0707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342.0</v>
      </c>
      <c r="E12" s="38">
        <v>0.698</v>
      </c>
      <c r="F12" s="10">
        <v>82.0</v>
      </c>
      <c r="G12" s="38">
        <v>0.8283</v>
      </c>
      <c r="H12" s="10">
        <v>31.0</v>
      </c>
      <c r="I12" s="38">
        <v>0.775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48.0</v>
      </c>
      <c r="E13" s="38">
        <v>0.098</v>
      </c>
      <c r="F13" s="10">
        <v>11.0</v>
      </c>
      <c r="G13" s="38">
        <v>0.1111</v>
      </c>
      <c r="H13" s="10">
        <v>5.0</v>
      </c>
      <c r="I13" s="38">
        <v>0.125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62.0</v>
      </c>
      <c r="E14" s="38">
        <v>0.1265</v>
      </c>
      <c r="F14" s="10">
        <v>8.0</v>
      </c>
      <c r="G14" s="38">
        <v>0.0808</v>
      </c>
      <c r="H14" s="10">
        <v>2.0</v>
      </c>
      <c r="I14" s="38">
        <v>0.05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294.0</v>
      </c>
      <c r="E15" s="38">
        <v>0.6</v>
      </c>
      <c r="F15" s="10">
        <v>74.0</v>
      </c>
      <c r="G15" s="38">
        <v>0.7475</v>
      </c>
      <c r="H15" s="10">
        <v>29.0</v>
      </c>
      <c r="I15" s="38">
        <v>0.725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45.0</v>
      </c>
      <c r="E16" s="38">
        <v>0.0918</v>
      </c>
      <c r="F16" s="10">
        <v>5.0</v>
      </c>
      <c r="G16" s="38">
        <v>0.0505</v>
      </c>
      <c r="H16" s="10">
        <v>1.0</v>
      </c>
      <c r="I16" s="38">
        <v>0.025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21.0</v>
      </c>
      <c r="E17" s="38">
        <v>0.0429</v>
      </c>
      <c r="F17" s="10">
        <v>5.0</v>
      </c>
      <c r="G17" s="38">
        <v>0.0505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45.0</v>
      </c>
      <c r="E18" s="38">
        <v>0.0918</v>
      </c>
      <c r="F18" s="10">
        <v>7.0</v>
      </c>
      <c r="G18" s="38">
        <v>0.0707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25.0</v>
      </c>
      <c r="E19" s="38">
        <v>0.051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17.0</v>
      </c>
      <c r="E20" s="38">
        <v>0.0347</v>
      </c>
      <c r="F20" s="10">
        <v>5.0</v>
      </c>
      <c r="G20" s="38">
        <v>0.0505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5.0</v>
      </c>
      <c r="E21" s="38">
        <v>0.0102</v>
      </c>
      <c r="F21" s="10">
        <v>7.0</v>
      </c>
      <c r="G21" s="38">
        <v>0.0707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248.0</v>
      </c>
      <c r="E22" s="38">
        <v>0.5061</v>
      </c>
      <c r="F22" s="10">
        <v>53.0</v>
      </c>
      <c r="G22" s="38">
        <v>0.5354</v>
      </c>
      <c r="H22" s="10">
        <v>17.0</v>
      </c>
      <c r="I22" s="38">
        <v>0.425</v>
      </c>
      <c r="J22" s="10" t="s">
        <v>40</v>
      </c>
    </row>
    <row r="23">
      <c r="A23" s="10" t="s">
        <v>64</v>
      </c>
      <c r="D23" s="10">
        <v>201.0</v>
      </c>
      <c r="E23" s="38">
        <v>0.4102</v>
      </c>
      <c r="F23" s="10">
        <v>41.0</v>
      </c>
      <c r="G23" s="38">
        <v>0.4141</v>
      </c>
      <c r="H23" s="10">
        <v>18.0</v>
      </c>
      <c r="I23" s="38">
        <v>0.45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50.0</v>
      </c>
      <c r="E24" s="38">
        <v>0.102</v>
      </c>
      <c r="F24" s="10">
        <v>10.0</v>
      </c>
      <c r="G24" s="38">
        <v>0.101</v>
      </c>
      <c r="H24" s="10">
        <v>3.0</v>
      </c>
      <c r="I24" s="38">
        <v>0.075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187.0</v>
      </c>
      <c r="E25" s="38">
        <v>0.3816</v>
      </c>
      <c r="F25" s="10">
        <v>49.0</v>
      </c>
      <c r="G25" s="38">
        <v>0.4949</v>
      </c>
      <c r="H25" s="10">
        <v>29.0</v>
      </c>
      <c r="I25" s="38">
        <v>0.725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211.0</v>
      </c>
      <c r="E26" s="38">
        <v>0.4306</v>
      </c>
      <c r="F26" s="10">
        <v>57.0</v>
      </c>
      <c r="G26" s="38">
        <v>0.5758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108.0</v>
      </c>
      <c r="E27" s="38">
        <v>0.2204</v>
      </c>
      <c r="F27" s="10">
        <v>23.0</v>
      </c>
      <c r="G27" s="38">
        <v>0.2323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61.0</v>
      </c>
      <c r="E28" s="38">
        <v>0.1245</v>
      </c>
      <c r="F28" s="10">
        <v>10.0</v>
      </c>
      <c r="G28" s="38">
        <v>0.101</v>
      </c>
      <c r="H28" s="10">
        <v>2.0</v>
      </c>
      <c r="I28" s="38">
        <v>0.05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34.0</v>
      </c>
      <c r="E29" s="38">
        <v>0.0694</v>
      </c>
      <c r="F29" s="10">
        <v>12.0</v>
      </c>
      <c r="G29" s="38">
        <v>0.1212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51.0</v>
      </c>
      <c r="E30" s="38">
        <v>0.1041</v>
      </c>
      <c r="F30" s="10">
        <v>8.0</v>
      </c>
      <c r="G30" s="38">
        <v>0.0808</v>
      </c>
      <c r="H30" s="10">
        <v>5.0</v>
      </c>
      <c r="I30" s="38">
        <v>0.125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21.0</v>
      </c>
      <c r="E31" s="38">
        <v>0.0429</v>
      </c>
      <c r="F31" s="10">
        <v>3.0</v>
      </c>
      <c r="G31" s="38">
        <v>0.0303</v>
      </c>
      <c r="H31" s="10">
        <v>1.0</v>
      </c>
      <c r="I31" s="38">
        <v>0.025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94.0</v>
      </c>
      <c r="E32" s="38">
        <v>0.1918</v>
      </c>
      <c r="F32" s="10">
        <v>17.0</v>
      </c>
      <c r="G32" s="38">
        <v>0.1717</v>
      </c>
      <c r="H32" s="10">
        <v>7.0</v>
      </c>
      <c r="I32" s="38">
        <v>0.175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35.0</v>
      </c>
      <c r="E33" s="38">
        <v>0.0714</v>
      </c>
      <c r="F33" s="10">
        <v>13.0</v>
      </c>
      <c r="G33" s="38">
        <v>0.1313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97.0</v>
      </c>
      <c r="E34" s="38">
        <v>0.198</v>
      </c>
      <c r="F34" s="10">
        <v>16.0</v>
      </c>
      <c r="G34" s="38">
        <v>0.1616</v>
      </c>
      <c r="H34" s="10">
        <v>10.0</v>
      </c>
      <c r="I34" s="38">
        <v>0.25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22.0</v>
      </c>
      <c r="E35" s="38">
        <v>0.0449</v>
      </c>
      <c r="F35" s="10">
        <v>5.0</v>
      </c>
      <c r="G35" s="38">
        <v>0.0505</v>
      </c>
      <c r="H35" s="10">
        <v>1.0</v>
      </c>
      <c r="I35" s="38">
        <v>0.025</v>
      </c>
      <c r="J35" s="10" t="s">
        <v>40</v>
      </c>
    </row>
    <row r="36">
      <c r="A36" s="10" t="s">
        <v>5</v>
      </c>
      <c r="D36" s="10">
        <v>10.0</v>
      </c>
      <c r="E36" s="38">
        <v>0.0204</v>
      </c>
      <c r="F36" s="10">
        <v>2.0</v>
      </c>
      <c r="G36" s="38">
        <v>0.0202</v>
      </c>
      <c r="H36" s="10">
        <v>1.0</v>
      </c>
      <c r="I36" s="38">
        <v>0.025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227.0</v>
      </c>
      <c r="E37" s="38">
        <v>0.4633</v>
      </c>
      <c r="F37" s="10">
        <v>36.0</v>
      </c>
      <c r="G37" s="38">
        <v>0.3636</v>
      </c>
      <c r="H37" s="10">
        <v>20.0</v>
      </c>
      <c r="I37" s="38">
        <v>0.5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106.0</v>
      </c>
      <c r="E38" s="38">
        <v>0.2163</v>
      </c>
      <c r="F38" s="10">
        <v>20.0</v>
      </c>
      <c r="G38" s="38">
        <v>0.202</v>
      </c>
      <c r="H38" s="10">
        <v>14.0</v>
      </c>
      <c r="I38" s="38">
        <v>0.35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259.0</v>
      </c>
      <c r="E40" s="38">
        <v>0.5286</v>
      </c>
      <c r="F40" s="10">
        <v>64.0</v>
      </c>
      <c r="G40" s="38">
        <v>0.6465</v>
      </c>
      <c r="H40" s="10">
        <v>21.0</v>
      </c>
      <c r="I40" s="38">
        <v>0.525</v>
      </c>
      <c r="J40" s="10" t="s">
        <v>40</v>
      </c>
    </row>
    <row r="41">
      <c r="A41" s="10" t="s">
        <v>6</v>
      </c>
      <c r="D41" s="10">
        <v>93.0</v>
      </c>
      <c r="E41" s="38">
        <v>0.1898</v>
      </c>
      <c r="F41" s="10">
        <v>20.0</v>
      </c>
      <c r="G41" s="38">
        <v>0.202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48.0</v>
      </c>
      <c r="E42" s="38">
        <v>0.098</v>
      </c>
      <c r="F42" s="10">
        <v>14.0</v>
      </c>
      <c r="G42" s="38">
        <v>0.1414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58.0</v>
      </c>
      <c r="E43" s="38">
        <v>0.1184</v>
      </c>
      <c r="F43" s="10">
        <v>16.0</v>
      </c>
      <c r="G43" s="38">
        <v>0.1616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1.0</v>
      </c>
      <c r="G44" s="38">
        <v>0.0101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22.0</v>
      </c>
      <c r="E45" s="38">
        <v>0.0449</v>
      </c>
      <c r="F45" s="10">
        <v>9.0</v>
      </c>
      <c r="G45" s="38">
        <v>0.0909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>
        <v>-0.02195883936</v>
      </c>
      <c r="G46" s="38">
        <v>-0.022</v>
      </c>
      <c r="H46" s="10">
        <v>0.0137809819</v>
      </c>
      <c r="I46" s="38">
        <v>0.0138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336.0</v>
      </c>
      <c r="E3" s="38">
        <v>0.6857</v>
      </c>
      <c r="F3" s="10">
        <v>64.0</v>
      </c>
      <c r="G3" s="38">
        <v>0.6465</v>
      </c>
      <c r="H3" s="10">
        <v>26.0</v>
      </c>
      <c r="I3" s="38">
        <v>0.65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147.0</v>
      </c>
      <c r="E4" s="38">
        <v>0.3</v>
      </c>
      <c r="F4" s="10">
        <v>34.0</v>
      </c>
      <c r="G4" s="38">
        <v>0.3434</v>
      </c>
      <c r="H4" s="10">
        <v>7.0</v>
      </c>
      <c r="I4" s="38">
        <v>0.175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280.0</v>
      </c>
      <c r="E5" s="38">
        <v>0.5714</v>
      </c>
      <c r="F5" s="10">
        <v>65.0</v>
      </c>
      <c r="G5" s="38">
        <v>0.6566</v>
      </c>
      <c r="H5" s="10">
        <v>25.0</v>
      </c>
      <c r="I5" s="38">
        <v>0.625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210.0</v>
      </c>
      <c r="E6" s="38">
        <v>0.4286</v>
      </c>
      <c r="F6" s="10">
        <v>34.0</v>
      </c>
      <c r="G6" s="38">
        <v>0.3434</v>
      </c>
      <c r="H6" s="10">
        <v>8.0</v>
      </c>
      <c r="I6" s="38">
        <v>0.2</v>
      </c>
      <c r="J6" s="10" t="s">
        <v>40</v>
      </c>
    </row>
    <row r="7">
      <c r="A7" s="10" t="s">
        <v>47</v>
      </c>
      <c r="D7" s="10">
        <v>192.0</v>
      </c>
      <c r="E7" s="38">
        <v>0.3918</v>
      </c>
      <c r="F7" s="10">
        <v>34.0</v>
      </c>
      <c r="G7" s="38">
        <v>0.3434</v>
      </c>
      <c r="H7" s="10">
        <v>11.0</v>
      </c>
      <c r="I7" s="38">
        <v>0.275</v>
      </c>
      <c r="J7" s="10" t="s">
        <v>40</v>
      </c>
      <c r="L7" s="10">
        <v>0.0</v>
      </c>
    </row>
    <row r="8">
      <c r="A8" s="10" t="s">
        <v>48</v>
      </c>
      <c r="D8" s="10">
        <v>298.0</v>
      </c>
      <c r="E8" s="38">
        <v>0.6082</v>
      </c>
      <c r="F8" s="10">
        <v>67.0</v>
      </c>
      <c r="G8" s="38">
        <v>0.6768</v>
      </c>
      <c r="H8" s="10">
        <v>22.0</v>
      </c>
      <c r="I8" s="38">
        <v>0.55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229.0</v>
      </c>
      <c r="E9" s="38">
        <v>0.4673</v>
      </c>
      <c r="F9" s="10">
        <v>49.0</v>
      </c>
      <c r="G9" s="38">
        <v>0.4949</v>
      </c>
      <c r="H9" s="10">
        <v>23.0</v>
      </c>
      <c r="I9" s="38">
        <v>0.575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30.0</v>
      </c>
      <c r="E11" s="38">
        <v>0.0612</v>
      </c>
      <c r="F11" s="10">
        <v>2.0</v>
      </c>
      <c r="G11" s="38">
        <v>0.0202</v>
      </c>
      <c r="H11" s="10">
        <v>0.0</v>
      </c>
      <c r="I11" s="38">
        <v>0.0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348.0</v>
      </c>
      <c r="E12" s="38">
        <v>0.7102</v>
      </c>
      <c r="F12" s="10">
        <v>83.0</v>
      </c>
      <c r="G12" s="38">
        <v>0.8384</v>
      </c>
      <c r="H12" s="10">
        <v>31.0</v>
      </c>
      <c r="I12" s="38">
        <v>0.775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55.0</v>
      </c>
      <c r="E13" s="38">
        <v>0.1122</v>
      </c>
      <c r="F13" s="10">
        <v>14.0</v>
      </c>
      <c r="G13" s="38">
        <v>0.1414</v>
      </c>
      <c r="H13" s="10">
        <v>7.0</v>
      </c>
      <c r="I13" s="38">
        <v>0.175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55.0</v>
      </c>
      <c r="E14" s="38">
        <v>0.1122</v>
      </c>
      <c r="F14" s="10">
        <v>6.0</v>
      </c>
      <c r="G14" s="38">
        <v>0.0606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253.0</v>
      </c>
      <c r="E15" s="38">
        <v>0.5163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35.0</v>
      </c>
      <c r="E16" s="38">
        <v>0.0714</v>
      </c>
      <c r="F16" s="10">
        <v>4.0</v>
      </c>
      <c r="G16" s="38">
        <v>0.0404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18.0</v>
      </c>
      <c r="E17" s="38">
        <v>0.0367</v>
      </c>
      <c r="F17" s="10">
        <v>3.0</v>
      </c>
      <c r="G17" s="38">
        <v>0.0303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37.0</v>
      </c>
      <c r="E18" s="38">
        <v>0.0755</v>
      </c>
      <c r="F18" s="10">
        <v>3.0</v>
      </c>
      <c r="G18" s="38">
        <v>0.0303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15.0</v>
      </c>
      <c r="E19" s="38">
        <v>0.0306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5.0</v>
      </c>
      <c r="E20" s="38">
        <v>0.0102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2.0</v>
      </c>
      <c r="E21" s="38">
        <v>0.0041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231.0</v>
      </c>
      <c r="E22" s="38">
        <v>0.4714</v>
      </c>
      <c r="F22" s="10">
        <v>56.0</v>
      </c>
      <c r="G22" s="38">
        <v>0.5657</v>
      </c>
      <c r="H22" s="10">
        <v>21.0</v>
      </c>
      <c r="I22" s="38">
        <v>0.525</v>
      </c>
      <c r="J22" s="10" t="s">
        <v>40</v>
      </c>
    </row>
    <row r="23">
      <c r="A23" s="10" t="s">
        <v>64</v>
      </c>
      <c r="D23" s="10">
        <v>214.0</v>
      </c>
      <c r="E23" s="38">
        <v>0.4367</v>
      </c>
      <c r="F23" s="10">
        <v>37.0</v>
      </c>
      <c r="G23" s="38">
        <v>0.3737</v>
      </c>
      <c r="H23" s="10">
        <v>12.0</v>
      </c>
      <c r="I23" s="38">
        <v>0.3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59.0</v>
      </c>
      <c r="E24" s="38">
        <v>0.1204</v>
      </c>
      <c r="F24" s="10">
        <v>13.0</v>
      </c>
      <c r="G24" s="38">
        <v>0.1313</v>
      </c>
      <c r="H24" s="10">
        <v>0.0</v>
      </c>
      <c r="I24" s="38">
        <v>0.0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203.0</v>
      </c>
      <c r="E25" s="38">
        <v>0.4143</v>
      </c>
      <c r="F25" s="10">
        <v>55.0</v>
      </c>
      <c r="G25" s="38">
        <v>0.5556</v>
      </c>
      <c r="H25" s="10">
        <v>30.0</v>
      </c>
      <c r="I25" s="38">
        <v>0.75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209.0</v>
      </c>
      <c r="E26" s="38">
        <v>0.4265</v>
      </c>
      <c r="F26" s="10">
        <v>48.0</v>
      </c>
      <c r="G26" s="38">
        <v>0.4848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68.0</v>
      </c>
      <c r="E27" s="38">
        <v>0.1388</v>
      </c>
      <c r="F27" s="10">
        <v>18.0</v>
      </c>
      <c r="G27" s="38">
        <v>0.1818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65.0</v>
      </c>
      <c r="E28" s="38">
        <v>0.1327</v>
      </c>
      <c r="F28" s="10">
        <v>10.0</v>
      </c>
      <c r="G28" s="38">
        <v>0.101</v>
      </c>
      <c r="H28" s="10">
        <v>5.0</v>
      </c>
      <c r="I28" s="38">
        <v>0.125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38.0</v>
      </c>
      <c r="E29" s="38">
        <v>0.0776</v>
      </c>
      <c r="F29" s="10">
        <v>9.0</v>
      </c>
      <c r="G29" s="38">
        <v>0.0909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56.0</v>
      </c>
      <c r="E30" s="38">
        <v>0.1143</v>
      </c>
      <c r="F30" s="10">
        <v>11.0</v>
      </c>
      <c r="G30" s="38">
        <v>0.1111</v>
      </c>
      <c r="H30" s="10">
        <v>8.0</v>
      </c>
      <c r="I30" s="38">
        <v>0.2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17.0</v>
      </c>
      <c r="E31" s="38">
        <v>0.0347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95.0</v>
      </c>
      <c r="E32" s="38">
        <v>0.1939</v>
      </c>
      <c r="F32" s="10">
        <v>18.0</v>
      </c>
      <c r="G32" s="38">
        <v>0.1818</v>
      </c>
      <c r="H32" s="10">
        <v>11.0</v>
      </c>
      <c r="I32" s="38">
        <v>0.275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39.0</v>
      </c>
      <c r="E33" s="38">
        <v>0.0796</v>
      </c>
      <c r="F33" s="10">
        <v>11.0</v>
      </c>
      <c r="G33" s="38">
        <v>0.1111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105.0</v>
      </c>
      <c r="E34" s="38">
        <v>0.2143</v>
      </c>
      <c r="F34" s="10">
        <v>14.0</v>
      </c>
      <c r="G34" s="38">
        <v>0.1414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17.0</v>
      </c>
      <c r="E35" s="38">
        <v>0.0347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10.0</v>
      </c>
      <c r="E36" s="38">
        <v>0.0204</v>
      </c>
      <c r="F36" s="10">
        <v>2.0</v>
      </c>
      <c r="G36" s="38">
        <v>0.0202</v>
      </c>
      <c r="H36" s="10">
        <v>1.0</v>
      </c>
      <c r="I36" s="38">
        <v>0.025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232.0</v>
      </c>
      <c r="E37" s="38">
        <v>0.4735</v>
      </c>
      <c r="F37" s="10">
        <v>46.0</v>
      </c>
      <c r="G37" s="38">
        <v>0.4646</v>
      </c>
      <c r="H37" s="10">
        <v>22.0</v>
      </c>
      <c r="I37" s="38">
        <v>0.55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112.0</v>
      </c>
      <c r="E38" s="38">
        <v>0.2286</v>
      </c>
      <c r="F38" s="10">
        <v>20.0</v>
      </c>
      <c r="G38" s="38">
        <v>0.202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254.0</v>
      </c>
      <c r="E40" s="38">
        <v>0.5184</v>
      </c>
      <c r="F40" s="10">
        <v>55.0</v>
      </c>
      <c r="G40" s="38">
        <v>0.5556</v>
      </c>
      <c r="H40" s="10">
        <v>19.0</v>
      </c>
      <c r="I40" s="38">
        <v>0.475</v>
      </c>
      <c r="J40" s="10" t="s">
        <v>40</v>
      </c>
    </row>
    <row r="41">
      <c r="A41" s="10" t="s">
        <v>6</v>
      </c>
      <c r="D41" s="10">
        <v>97.0</v>
      </c>
      <c r="E41" s="38">
        <v>0.198</v>
      </c>
      <c r="F41" s="10">
        <v>18.0</v>
      </c>
      <c r="G41" s="38">
        <v>0.1818</v>
      </c>
      <c r="H41" s="10">
        <v>2.0</v>
      </c>
      <c r="I41" s="38">
        <v>0.05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52.0</v>
      </c>
      <c r="E42" s="38">
        <v>0.1061</v>
      </c>
      <c r="F42" s="10">
        <v>14.0</v>
      </c>
      <c r="G42" s="38">
        <v>0.1414</v>
      </c>
      <c r="H42" s="10">
        <v>3.0</v>
      </c>
      <c r="I42" s="38">
        <v>0.075</v>
      </c>
      <c r="J42" s="10" t="s">
        <v>40</v>
      </c>
    </row>
    <row r="43">
      <c r="A43" s="10" t="s">
        <v>80</v>
      </c>
      <c r="D43" s="10">
        <v>70.0</v>
      </c>
      <c r="E43" s="38">
        <v>0.1429</v>
      </c>
      <c r="F43" s="10">
        <v>16.0</v>
      </c>
      <c r="G43" s="38">
        <v>0.1616</v>
      </c>
      <c r="H43" s="10">
        <v>4.0</v>
      </c>
      <c r="I43" s="38">
        <v>0.1</v>
      </c>
      <c r="J43" s="10" t="s">
        <v>40</v>
      </c>
    </row>
    <row r="44">
      <c r="A44" s="10" t="s">
        <v>10</v>
      </c>
      <c r="D44" s="10">
        <v>2.0</v>
      </c>
      <c r="E44" s="38">
        <v>0.0041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22.0</v>
      </c>
      <c r="E45" s="38">
        <v>0.0449</v>
      </c>
      <c r="F45" s="10">
        <v>8.0</v>
      </c>
      <c r="G45" s="38">
        <v>0.0808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>
        <v>0.001361585671</v>
      </c>
      <c r="E46" s="38">
        <v>0.0014</v>
      </c>
      <c r="F46" s="10">
        <v>4.556827775E-4</v>
      </c>
      <c r="G46" s="38">
        <v>5.0E-4</v>
      </c>
      <c r="H46" s="10">
        <v>0.01434437361</v>
      </c>
      <c r="I46" s="38">
        <v>0.0143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336.0</v>
      </c>
      <c r="E3" s="38">
        <v>0.6857</v>
      </c>
      <c r="F3" s="10">
        <v>64.0</v>
      </c>
      <c r="G3" s="38">
        <v>0.6465</v>
      </c>
      <c r="H3" s="10">
        <v>26.0</v>
      </c>
      <c r="I3" s="38">
        <v>0.65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147.0</v>
      </c>
      <c r="E4" s="38">
        <v>0.3</v>
      </c>
      <c r="F4" s="10">
        <v>34.0</v>
      </c>
      <c r="G4" s="38">
        <v>0.3434</v>
      </c>
      <c r="H4" s="10">
        <v>7.0</v>
      </c>
      <c r="I4" s="38">
        <v>0.175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267.0</v>
      </c>
      <c r="E5" s="38">
        <v>0.5449</v>
      </c>
      <c r="F5" s="10">
        <v>61.0</v>
      </c>
      <c r="G5" s="38">
        <v>0.6162</v>
      </c>
      <c r="H5" s="10">
        <v>21.0</v>
      </c>
      <c r="I5" s="38">
        <v>0.525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223.0</v>
      </c>
      <c r="E6" s="38">
        <v>0.4551</v>
      </c>
      <c r="F6" s="10">
        <v>38.0</v>
      </c>
      <c r="G6" s="38">
        <v>0.3838</v>
      </c>
      <c r="H6" s="10">
        <v>12.0</v>
      </c>
      <c r="I6" s="38">
        <v>0.3</v>
      </c>
      <c r="J6" s="10" t="s">
        <v>40</v>
      </c>
    </row>
    <row r="7">
      <c r="A7" s="10" t="s">
        <v>47</v>
      </c>
      <c r="D7" s="10">
        <v>208.0</v>
      </c>
      <c r="E7" s="38">
        <v>0.4245</v>
      </c>
      <c r="F7" s="10">
        <v>34.0</v>
      </c>
      <c r="G7" s="38">
        <v>0.3434</v>
      </c>
      <c r="H7" s="10">
        <v>9.0</v>
      </c>
      <c r="I7" s="38">
        <v>0.225</v>
      </c>
      <c r="J7" s="10" t="s">
        <v>40</v>
      </c>
      <c r="L7" s="10">
        <v>0.0</v>
      </c>
    </row>
    <row r="8">
      <c r="A8" s="10" t="s">
        <v>48</v>
      </c>
      <c r="D8" s="10">
        <v>282.0</v>
      </c>
      <c r="E8" s="38">
        <v>0.5755</v>
      </c>
      <c r="F8" s="10">
        <v>67.0</v>
      </c>
      <c r="G8" s="38">
        <v>0.6768</v>
      </c>
      <c r="H8" s="10">
        <v>24.0</v>
      </c>
      <c r="I8" s="38">
        <v>0.6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210.0</v>
      </c>
      <c r="E9" s="38">
        <v>0.4286</v>
      </c>
      <c r="F9" s="10">
        <v>47.0</v>
      </c>
      <c r="G9" s="38">
        <v>0.4747</v>
      </c>
      <c r="H9" s="10">
        <v>19.0</v>
      </c>
      <c r="I9" s="38">
        <v>0.475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39.0</v>
      </c>
      <c r="E11" s="38">
        <v>0.0796</v>
      </c>
      <c r="F11" s="10">
        <v>8.0</v>
      </c>
      <c r="G11" s="38">
        <v>0.0808</v>
      </c>
      <c r="H11" s="10">
        <v>1.0</v>
      </c>
      <c r="I11" s="38">
        <v>0.025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351.0</v>
      </c>
      <c r="E12" s="38">
        <v>0.7163</v>
      </c>
      <c r="F12" s="10">
        <v>79.0</v>
      </c>
      <c r="G12" s="38">
        <v>0.798</v>
      </c>
      <c r="H12" s="10">
        <v>31.0</v>
      </c>
      <c r="I12" s="38">
        <v>0.775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51.0</v>
      </c>
      <c r="E13" s="38">
        <v>0.1041</v>
      </c>
      <c r="F13" s="10">
        <v>17.0</v>
      </c>
      <c r="G13" s="38">
        <v>0.1717</v>
      </c>
      <c r="H13" s="10">
        <v>8.0</v>
      </c>
      <c r="I13" s="38">
        <v>0.2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49.0</v>
      </c>
      <c r="E14" s="38">
        <v>0.1</v>
      </c>
      <c r="F14" s="10">
        <v>8.0</v>
      </c>
      <c r="G14" s="38">
        <v>0.0808</v>
      </c>
      <c r="H14" s="10">
        <v>1.0</v>
      </c>
      <c r="I14" s="38">
        <v>0.025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253.0</v>
      </c>
      <c r="E15" s="38">
        <v>0.5163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35.0</v>
      </c>
      <c r="E16" s="38">
        <v>0.0714</v>
      </c>
      <c r="F16" s="10">
        <v>4.0</v>
      </c>
      <c r="G16" s="38">
        <v>0.0404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18.0</v>
      </c>
      <c r="E17" s="38">
        <v>0.0367</v>
      </c>
      <c r="F17" s="10">
        <v>3.0</v>
      </c>
      <c r="G17" s="38">
        <v>0.0303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50.0</v>
      </c>
      <c r="E18" s="38">
        <v>0.102</v>
      </c>
      <c r="F18" s="10">
        <v>7.0</v>
      </c>
      <c r="G18" s="38">
        <v>0.0707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6.0</v>
      </c>
      <c r="E19" s="38">
        <v>0.0122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7.0</v>
      </c>
      <c r="E20" s="38">
        <v>0.0143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7.0</v>
      </c>
      <c r="G21" s="38">
        <v>0.0707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236.0</v>
      </c>
      <c r="E22" s="38">
        <v>0.4816</v>
      </c>
      <c r="F22" s="10">
        <v>49.0</v>
      </c>
      <c r="G22" s="38">
        <v>0.4949</v>
      </c>
      <c r="H22" s="10">
        <v>17.0</v>
      </c>
      <c r="I22" s="38">
        <v>0.425</v>
      </c>
      <c r="J22" s="10" t="s">
        <v>40</v>
      </c>
    </row>
    <row r="23">
      <c r="A23" s="10" t="s">
        <v>64</v>
      </c>
      <c r="D23" s="10">
        <v>231.0</v>
      </c>
      <c r="E23" s="38">
        <v>0.4714</v>
      </c>
      <c r="F23" s="10">
        <v>44.0</v>
      </c>
      <c r="G23" s="38">
        <v>0.4444</v>
      </c>
      <c r="H23" s="10">
        <v>14.0</v>
      </c>
      <c r="I23" s="38">
        <v>0.35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57.0</v>
      </c>
      <c r="E24" s="38">
        <v>0.1163</v>
      </c>
      <c r="F24" s="10">
        <v>12.0</v>
      </c>
      <c r="G24" s="38">
        <v>0.1212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185.0</v>
      </c>
      <c r="E25" s="38">
        <v>0.3776</v>
      </c>
      <c r="F25" s="10">
        <v>45.0</v>
      </c>
      <c r="G25" s="38">
        <v>0.4545</v>
      </c>
      <c r="H25" s="10">
        <v>29.0</v>
      </c>
      <c r="I25" s="38">
        <v>0.725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217.0</v>
      </c>
      <c r="E26" s="38">
        <v>0.4429</v>
      </c>
      <c r="F26" s="10">
        <v>47.0</v>
      </c>
      <c r="G26" s="38">
        <v>0.4747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61.0</v>
      </c>
      <c r="E27" s="38">
        <v>0.1245</v>
      </c>
      <c r="F27" s="10">
        <v>16.0</v>
      </c>
      <c r="G27" s="38">
        <v>0.1616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68.0</v>
      </c>
      <c r="E28" s="38">
        <v>0.1388</v>
      </c>
      <c r="F28" s="10">
        <v>13.0</v>
      </c>
      <c r="G28" s="38">
        <v>0.1313</v>
      </c>
      <c r="H28" s="10">
        <v>4.0</v>
      </c>
      <c r="I28" s="38">
        <v>0.1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53.0</v>
      </c>
      <c r="E29" s="38">
        <v>0.1082</v>
      </c>
      <c r="F29" s="10">
        <v>8.0</v>
      </c>
      <c r="G29" s="38">
        <v>0.0808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56.0</v>
      </c>
      <c r="E30" s="38">
        <v>0.1143</v>
      </c>
      <c r="F30" s="10">
        <v>11.0</v>
      </c>
      <c r="G30" s="38">
        <v>0.1111</v>
      </c>
      <c r="H30" s="10">
        <v>8.0</v>
      </c>
      <c r="I30" s="38">
        <v>0.2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17.0</v>
      </c>
      <c r="E31" s="38">
        <v>0.0347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105.0</v>
      </c>
      <c r="E32" s="38">
        <v>0.2143</v>
      </c>
      <c r="F32" s="10">
        <v>21.0</v>
      </c>
      <c r="G32" s="38">
        <v>0.2121</v>
      </c>
      <c r="H32" s="10">
        <v>11.0</v>
      </c>
      <c r="I32" s="38">
        <v>0.275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54.0</v>
      </c>
      <c r="E33" s="38">
        <v>0.1102</v>
      </c>
      <c r="F33" s="10">
        <v>9.0</v>
      </c>
      <c r="G33" s="38">
        <v>0.0909</v>
      </c>
      <c r="H33" s="10">
        <v>1.0</v>
      </c>
      <c r="I33" s="38">
        <v>0.025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105.0</v>
      </c>
      <c r="E34" s="38">
        <v>0.2143</v>
      </c>
      <c r="F34" s="10">
        <v>14.0</v>
      </c>
      <c r="G34" s="38">
        <v>0.1414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17.0</v>
      </c>
      <c r="E35" s="38">
        <v>0.0347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11.0</v>
      </c>
      <c r="E36" s="38">
        <v>0.0224</v>
      </c>
      <c r="F36" s="10">
        <v>2.0</v>
      </c>
      <c r="G36" s="38">
        <v>0.0202</v>
      </c>
      <c r="H36" s="10">
        <v>1.0</v>
      </c>
      <c r="I36" s="38">
        <v>0.025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227.0</v>
      </c>
      <c r="E37" s="38">
        <v>0.4633</v>
      </c>
      <c r="F37" s="10">
        <v>47.0</v>
      </c>
      <c r="G37" s="38">
        <v>0.4747</v>
      </c>
      <c r="H37" s="10">
        <v>19.0</v>
      </c>
      <c r="I37" s="38">
        <v>0.475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127.0</v>
      </c>
      <c r="E38" s="38">
        <v>0.2592</v>
      </c>
      <c r="F38" s="10">
        <v>29.0</v>
      </c>
      <c r="G38" s="38">
        <v>0.2929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2.0</v>
      </c>
      <c r="E39" s="38">
        <v>0.0041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257.0</v>
      </c>
      <c r="E40" s="38">
        <v>0.5245</v>
      </c>
      <c r="F40" s="10">
        <v>52.0</v>
      </c>
      <c r="G40" s="38">
        <v>0.5253</v>
      </c>
      <c r="H40" s="10">
        <v>22.0</v>
      </c>
      <c r="I40" s="38">
        <v>0.55</v>
      </c>
      <c r="J40" s="10" t="s">
        <v>40</v>
      </c>
    </row>
    <row r="41">
      <c r="A41" s="10" t="s">
        <v>6</v>
      </c>
      <c r="D41" s="10">
        <v>97.0</v>
      </c>
      <c r="E41" s="38">
        <v>0.198</v>
      </c>
      <c r="F41" s="10">
        <v>18.0</v>
      </c>
      <c r="G41" s="38">
        <v>0.1818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66.0</v>
      </c>
      <c r="E42" s="38">
        <v>0.1347</v>
      </c>
      <c r="F42" s="10">
        <v>12.0</v>
      </c>
      <c r="G42" s="38">
        <v>0.1212</v>
      </c>
      <c r="H42" s="10">
        <v>2.0</v>
      </c>
      <c r="I42" s="38">
        <v>0.05</v>
      </c>
      <c r="J42" s="10" t="s">
        <v>40</v>
      </c>
    </row>
    <row r="43">
      <c r="A43" s="10" t="s">
        <v>80</v>
      </c>
      <c r="D43" s="10">
        <v>83.0</v>
      </c>
      <c r="E43" s="38">
        <v>0.1694</v>
      </c>
      <c r="F43" s="10">
        <v>18.0</v>
      </c>
      <c r="G43" s="38">
        <v>0.1818</v>
      </c>
      <c r="H43" s="10">
        <v>3.0</v>
      </c>
      <c r="I43" s="38">
        <v>0.075</v>
      </c>
      <c r="J43" s="10" t="s">
        <v>40</v>
      </c>
    </row>
    <row r="44">
      <c r="A44" s="10" t="s">
        <v>10</v>
      </c>
      <c r="D44" s="10">
        <v>3.0</v>
      </c>
      <c r="E44" s="38">
        <v>0.0061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23.0</v>
      </c>
      <c r="E45" s="38">
        <v>0.0469</v>
      </c>
      <c r="F45" s="10">
        <v>4.0</v>
      </c>
      <c r="G45" s="38">
        <v>0.0404</v>
      </c>
      <c r="H45" s="10">
        <v>1.0</v>
      </c>
      <c r="I45" s="38">
        <v>0.025</v>
      </c>
      <c r="J45" s="10" t="s">
        <v>40</v>
      </c>
      <c r="K45" s="10" t="s">
        <v>66</v>
      </c>
    </row>
    <row r="46">
      <c r="A46" s="10" t="s">
        <v>83</v>
      </c>
      <c r="D46" s="10" t="e">
        <v>#N/A</v>
      </c>
      <c r="E46" s="10" t="e">
        <v>#N/A</v>
      </c>
      <c r="F46" s="10">
        <v>-0.001312374278</v>
      </c>
      <c r="G46" s="38">
        <v>-0.0013</v>
      </c>
      <c r="H46" s="10" t="e">
        <v>#N/A</v>
      </c>
      <c r="I46" s="10" t="e">
        <v>#N/A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336.0</v>
      </c>
      <c r="E3" s="38">
        <v>0.6857</v>
      </c>
      <c r="F3" s="10">
        <v>64.0</v>
      </c>
      <c r="G3" s="38">
        <v>0.6465</v>
      </c>
      <c r="H3" s="10">
        <v>26.0</v>
      </c>
      <c r="I3" s="38">
        <v>0.65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147.0</v>
      </c>
      <c r="E4" s="38">
        <v>0.3</v>
      </c>
      <c r="F4" s="10">
        <v>34.0</v>
      </c>
      <c r="G4" s="38">
        <v>0.3434</v>
      </c>
      <c r="H4" s="10">
        <v>7.0</v>
      </c>
      <c r="I4" s="38">
        <v>0.175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250.0</v>
      </c>
      <c r="E5" s="38">
        <v>0.5102</v>
      </c>
      <c r="F5" s="10">
        <v>54.0</v>
      </c>
      <c r="G5" s="38">
        <v>0.5455</v>
      </c>
      <c r="H5" s="10">
        <v>19.0</v>
      </c>
      <c r="I5" s="38">
        <v>0.475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240.0</v>
      </c>
      <c r="E6" s="38">
        <v>0.4898</v>
      </c>
      <c r="F6" s="10">
        <v>45.0</v>
      </c>
      <c r="G6" s="38">
        <v>0.4545</v>
      </c>
      <c r="H6" s="10">
        <v>14.0</v>
      </c>
      <c r="I6" s="38">
        <v>0.35</v>
      </c>
      <c r="J6" s="10" t="s">
        <v>40</v>
      </c>
    </row>
    <row r="7">
      <c r="A7" s="10" t="s">
        <v>47</v>
      </c>
      <c r="D7" s="10">
        <v>209.0</v>
      </c>
      <c r="E7" s="38">
        <v>0.4265</v>
      </c>
      <c r="F7" s="10">
        <v>34.0</v>
      </c>
      <c r="G7" s="38">
        <v>0.3434</v>
      </c>
      <c r="H7" s="10">
        <v>9.0</v>
      </c>
      <c r="I7" s="38">
        <v>0.225</v>
      </c>
      <c r="J7" s="10" t="s">
        <v>40</v>
      </c>
      <c r="L7" s="10">
        <v>0.0</v>
      </c>
    </row>
    <row r="8">
      <c r="A8" s="10" t="s">
        <v>48</v>
      </c>
      <c r="D8" s="10">
        <v>281.0</v>
      </c>
      <c r="E8" s="38">
        <v>0.5735</v>
      </c>
      <c r="F8" s="10">
        <v>67.0</v>
      </c>
      <c r="G8" s="38">
        <v>0.6768</v>
      </c>
      <c r="H8" s="10">
        <v>24.0</v>
      </c>
      <c r="I8" s="38">
        <v>0.6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203.0</v>
      </c>
      <c r="E9" s="38">
        <v>0.4143</v>
      </c>
      <c r="F9" s="10">
        <v>41.0</v>
      </c>
      <c r="G9" s="38">
        <v>0.4141</v>
      </c>
      <c r="H9" s="10">
        <v>17.0</v>
      </c>
      <c r="I9" s="38">
        <v>0.425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50.0</v>
      </c>
      <c r="E11" s="38">
        <v>0.102</v>
      </c>
      <c r="F11" s="10">
        <v>7.0</v>
      </c>
      <c r="G11" s="38">
        <v>0.0707</v>
      </c>
      <c r="H11" s="10">
        <v>2.0</v>
      </c>
      <c r="I11" s="38">
        <v>0.05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332.0</v>
      </c>
      <c r="E12" s="38">
        <v>0.6776</v>
      </c>
      <c r="F12" s="10">
        <v>79.0</v>
      </c>
      <c r="G12" s="38">
        <v>0.798</v>
      </c>
      <c r="H12" s="10">
        <v>31.0</v>
      </c>
      <c r="I12" s="38">
        <v>0.775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57.0</v>
      </c>
      <c r="E13" s="38">
        <v>0.1163</v>
      </c>
      <c r="F13" s="10">
        <v>18.0</v>
      </c>
      <c r="G13" s="38">
        <v>0.1818</v>
      </c>
      <c r="H13" s="10">
        <v>12.0</v>
      </c>
      <c r="I13" s="38">
        <v>0.3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50.0</v>
      </c>
      <c r="E14" s="38">
        <v>0.102</v>
      </c>
      <c r="F14" s="10">
        <v>4.0</v>
      </c>
      <c r="G14" s="38">
        <v>0.0404</v>
      </c>
      <c r="H14" s="10">
        <v>4.0</v>
      </c>
      <c r="I14" s="38">
        <v>0.1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253.0</v>
      </c>
      <c r="E15" s="38">
        <v>0.5163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35.0</v>
      </c>
      <c r="E16" s="38">
        <v>0.0714</v>
      </c>
      <c r="F16" s="10">
        <v>4.0</v>
      </c>
      <c r="G16" s="38">
        <v>0.0404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18.0</v>
      </c>
      <c r="E17" s="38">
        <v>0.0367</v>
      </c>
      <c r="F17" s="10">
        <v>3.0</v>
      </c>
      <c r="G17" s="38">
        <v>0.0303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61.0</v>
      </c>
      <c r="E18" s="38">
        <v>0.1245</v>
      </c>
      <c r="F18" s="10">
        <v>9.0</v>
      </c>
      <c r="G18" s="38">
        <v>0.0909</v>
      </c>
      <c r="H18" s="10">
        <v>0.0</v>
      </c>
      <c r="I18" s="38">
        <v>0.0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12.0</v>
      </c>
      <c r="E19" s="38">
        <v>0.0245</v>
      </c>
      <c r="F19" s="10">
        <v>1.0</v>
      </c>
      <c r="G19" s="38">
        <v>0.0101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10.0</v>
      </c>
      <c r="E20" s="38">
        <v>0.0204</v>
      </c>
      <c r="F20" s="10">
        <v>1.0</v>
      </c>
      <c r="G20" s="38">
        <v>0.0101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1.0</v>
      </c>
      <c r="E21" s="38">
        <v>0.002</v>
      </c>
      <c r="F21" s="10">
        <v>9.0</v>
      </c>
      <c r="G21" s="38">
        <v>0.0909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217.0</v>
      </c>
      <c r="E22" s="38">
        <v>0.4429</v>
      </c>
      <c r="F22" s="10">
        <v>43.0</v>
      </c>
      <c r="G22" s="38">
        <v>0.4343</v>
      </c>
      <c r="H22" s="10">
        <v>24.0</v>
      </c>
      <c r="I22" s="38">
        <v>0.6</v>
      </c>
      <c r="J22" s="10" t="s">
        <v>40</v>
      </c>
    </row>
    <row r="23">
      <c r="A23" s="10" t="s">
        <v>64</v>
      </c>
      <c r="D23" s="10">
        <v>236.0</v>
      </c>
      <c r="E23" s="38">
        <v>0.4816</v>
      </c>
      <c r="F23" s="10">
        <v>49.0</v>
      </c>
      <c r="G23" s="38">
        <v>0.4949</v>
      </c>
      <c r="H23" s="10">
        <v>8.0</v>
      </c>
      <c r="I23" s="38">
        <v>0.2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58.0</v>
      </c>
      <c r="E24" s="38">
        <v>0.1184</v>
      </c>
      <c r="F24" s="10">
        <v>8.0</v>
      </c>
      <c r="G24" s="38">
        <v>0.0808</v>
      </c>
      <c r="H24" s="10">
        <v>1.0</v>
      </c>
      <c r="I24" s="38">
        <v>0.025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201.0</v>
      </c>
      <c r="E25" s="38">
        <v>0.4102</v>
      </c>
      <c r="F25" s="10">
        <v>56.0</v>
      </c>
      <c r="G25" s="38">
        <v>0.5657</v>
      </c>
      <c r="H25" s="10">
        <v>31.0</v>
      </c>
      <c r="I25" s="38">
        <v>0.775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170.0</v>
      </c>
      <c r="E26" s="38">
        <v>0.3469</v>
      </c>
      <c r="F26" s="10">
        <v>33.0</v>
      </c>
      <c r="G26" s="38">
        <v>0.3333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58.0</v>
      </c>
      <c r="E27" s="38">
        <v>0.1184</v>
      </c>
      <c r="F27" s="10">
        <v>12.0</v>
      </c>
      <c r="G27" s="38">
        <v>0.1212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67.0</v>
      </c>
      <c r="E28" s="38">
        <v>0.1367</v>
      </c>
      <c r="F28" s="10">
        <v>12.0</v>
      </c>
      <c r="G28" s="38">
        <v>0.1212</v>
      </c>
      <c r="H28" s="10">
        <v>7.0</v>
      </c>
      <c r="I28" s="38">
        <v>0.175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42.0</v>
      </c>
      <c r="E29" s="38">
        <v>0.0857</v>
      </c>
      <c r="F29" s="10">
        <v>9.0</v>
      </c>
      <c r="G29" s="38">
        <v>0.0909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56.0</v>
      </c>
      <c r="E30" s="38">
        <v>0.1143</v>
      </c>
      <c r="F30" s="10">
        <v>11.0</v>
      </c>
      <c r="G30" s="38">
        <v>0.1111</v>
      </c>
      <c r="H30" s="10">
        <v>8.0</v>
      </c>
      <c r="I30" s="38">
        <v>0.2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17.0</v>
      </c>
      <c r="E31" s="38">
        <v>0.0347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98.0</v>
      </c>
      <c r="E32" s="38">
        <v>0.2</v>
      </c>
      <c r="F32" s="10">
        <v>19.0</v>
      </c>
      <c r="G32" s="38">
        <v>0.1919</v>
      </c>
      <c r="H32" s="10">
        <v>12.0</v>
      </c>
      <c r="I32" s="38">
        <v>0.3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42.0</v>
      </c>
      <c r="E33" s="38">
        <v>0.0857</v>
      </c>
      <c r="F33" s="10">
        <v>8.0</v>
      </c>
      <c r="G33" s="38">
        <v>0.0808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105.0</v>
      </c>
      <c r="E34" s="38">
        <v>0.2143</v>
      </c>
      <c r="F34" s="10">
        <v>14.0</v>
      </c>
      <c r="G34" s="38">
        <v>0.1414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17.0</v>
      </c>
      <c r="E35" s="38">
        <v>0.0347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10.0</v>
      </c>
      <c r="E36" s="38">
        <v>0.0204</v>
      </c>
      <c r="F36" s="10">
        <v>2.0</v>
      </c>
      <c r="G36" s="38">
        <v>0.0202</v>
      </c>
      <c r="H36" s="10">
        <v>1.0</v>
      </c>
      <c r="I36" s="38">
        <v>0.025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241.0</v>
      </c>
      <c r="E37" s="38">
        <v>0.4918</v>
      </c>
      <c r="F37" s="10">
        <v>48.0</v>
      </c>
      <c r="G37" s="38">
        <v>0.4848</v>
      </c>
      <c r="H37" s="10">
        <v>24.0</v>
      </c>
      <c r="I37" s="38">
        <v>0.6</v>
      </c>
      <c r="J37" s="10" t="s">
        <v>40</v>
      </c>
      <c r="K37" s="10" t="s">
        <v>81</v>
      </c>
      <c r="L37" s="10">
        <v>0.0</v>
      </c>
    </row>
    <row r="38">
      <c r="A38" s="10" t="s">
        <v>12</v>
      </c>
      <c r="D38" s="10">
        <v>118.0</v>
      </c>
      <c r="E38" s="38">
        <v>0.2408</v>
      </c>
      <c r="F38" s="10">
        <v>23.0</v>
      </c>
      <c r="G38" s="38">
        <v>0.2323</v>
      </c>
      <c r="H38" s="10">
        <v>18.0</v>
      </c>
      <c r="I38" s="38">
        <v>0.45</v>
      </c>
      <c r="J38" s="10" t="s">
        <v>40</v>
      </c>
      <c r="K38" s="10" t="s">
        <v>43</v>
      </c>
    </row>
    <row r="39">
      <c r="A39" s="10" t="s">
        <v>78</v>
      </c>
      <c r="D39" s="10">
        <v>3.0</v>
      </c>
      <c r="E39" s="38">
        <v>0.0061</v>
      </c>
      <c r="F39" s="10">
        <v>0.0</v>
      </c>
      <c r="G39" s="38">
        <v>0.0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244.0</v>
      </c>
      <c r="E40" s="38">
        <v>0.498</v>
      </c>
      <c r="F40" s="10">
        <v>53.0</v>
      </c>
      <c r="G40" s="38">
        <v>0.5354</v>
      </c>
      <c r="H40" s="10">
        <v>17.0</v>
      </c>
      <c r="I40" s="38">
        <v>0.425</v>
      </c>
      <c r="J40" s="10" t="s">
        <v>40</v>
      </c>
    </row>
    <row r="41">
      <c r="A41" s="10" t="s">
        <v>6</v>
      </c>
      <c r="D41" s="10">
        <v>89.0</v>
      </c>
      <c r="E41" s="38">
        <v>0.1816</v>
      </c>
      <c r="F41" s="10">
        <v>17.0</v>
      </c>
      <c r="G41" s="38">
        <v>0.1717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51.0</v>
      </c>
      <c r="E42" s="38">
        <v>0.1041</v>
      </c>
      <c r="F42" s="10">
        <v>10.0</v>
      </c>
      <c r="G42" s="38">
        <v>0.101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67.0</v>
      </c>
      <c r="E43" s="38">
        <v>0.1367</v>
      </c>
      <c r="F43" s="10">
        <v>16.0</v>
      </c>
      <c r="G43" s="38">
        <v>0.1616</v>
      </c>
      <c r="H43" s="10">
        <v>1.0</v>
      </c>
      <c r="I43" s="38">
        <v>0.025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0.0</v>
      </c>
      <c r="G44" s="38">
        <v>0.0</v>
      </c>
      <c r="H44" s="10">
        <v>0.0</v>
      </c>
      <c r="I44" s="38">
        <v>0.0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19.0</v>
      </c>
      <c r="E45" s="38">
        <v>0.0388</v>
      </c>
      <c r="F45" s="10">
        <v>6.0</v>
      </c>
      <c r="G45" s="38">
        <v>0.0606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0.004541621765</v>
      </c>
      <c r="E46" s="38">
        <v>0.0045</v>
      </c>
      <c r="F46" s="10">
        <v>-0.004239274952</v>
      </c>
      <c r="G46" s="38">
        <v>-0.0042</v>
      </c>
      <c r="H46" s="10">
        <v>0.00803439303</v>
      </c>
      <c r="I46" s="38">
        <v>0.008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>
      <c r="A2" s="10" t="s">
        <v>39</v>
      </c>
      <c r="B2" s="10">
        <v>1.0</v>
      </c>
      <c r="C2" s="38">
        <v>1.0</v>
      </c>
      <c r="D2" s="10">
        <v>490.0</v>
      </c>
      <c r="E2" s="38">
        <v>1.0</v>
      </c>
      <c r="F2" s="10">
        <v>99.0</v>
      </c>
      <c r="G2" s="38">
        <v>1.0</v>
      </c>
      <c r="H2" s="10">
        <v>40.0</v>
      </c>
      <c r="I2" s="38">
        <v>1.0</v>
      </c>
      <c r="J2" s="10" t="s">
        <v>40</v>
      </c>
      <c r="K2" s="10" t="s">
        <v>41</v>
      </c>
      <c r="L2" s="10">
        <v>0.0</v>
      </c>
    </row>
    <row r="3">
      <c r="A3" s="10" t="s">
        <v>42</v>
      </c>
      <c r="B3" s="10">
        <v>0.0</v>
      </c>
      <c r="C3" s="38">
        <v>0.0</v>
      </c>
      <c r="D3" s="10">
        <v>336.0</v>
      </c>
      <c r="E3" s="38">
        <v>0.6857</v>
      </c>
      <c r="F3" s="10">
        <v>64.0</v>
      </c>
      <c r="G3" s="38">
        <v>0.6465</v>
      </c>
      <c r="H3" s="10">
        <v>26.0</v>
      </c>
      <c r="I3" s="38">
        <v>0.65</v>
      </c>
      <c r="J3" s="10" t="s">
        <v>40</v>
      </c>
      <c r="K3" s="10" t="s">
        <v>89</v>
      </c>
    </row>
    <row r="4">
      <c r="A4" s="10" t="s">
        <v>44</v>
      </c>
      <c r="B4" s="10">
        <v>0.0</v>
      </c>
      <c r="C4" s="38">
        <v>0.0</v>
      </c>
      <c r="D4" s="10">
        <v>147.0</v>
      </c>
      <c r="E4" s="38">
        <v>0.3</v>
      </c>
      <c r="F4" s="10">
        <v>34.0</v>
      </c>
      <c r="G4" s="38">
        <v>0.3434</v>
      </c>
      <c r="H4" s="10">
        <v>7.0</v>
      </c>
      <c r="I4" s="38">
        <v>0.175</v>
      </c>
      <c r="J4" s="10" t="s">
        <v>40</v>
      </c>
    </row>
    <row r="5">
      <c r="A5" s="10" t="s">
        <v>45</v>
      </c>
      <c r="B5" s="10">
        <v>0.0</v>
      </c>
      <c r="C5" s="38">
        <v>0.0</v>
      </c>
      <c r="D5" s="10">
        <v>247.0</v>
      </c>
      <c r="E5" s="38">
        <v>0.5041</v>
      </c>
      <c r="F5" s="10">
        <v>52.0</v>
      </c>
      <c r="G5" s="38">
        <v>0.5253</v>
      </c>
      <c r="H5" s="10">
        <v>19.0</v>
      </c>
      <c r="I5" s="38">
        <v>0.475</v>
      </c>
      <c r="J5" s="10" t="s">
        <v>40</v>
      </c>
    </row>
    <row r="6">
      <c r="A6" s="10" t="s">
        <v>46</v>
      </c>
      <c r="B6" s="10">
        <v>0.0</v>
      </c>
      <c r="C6" s="38">
        <v>0.0</v>
      </c>
      <c r="D6" s="10">
        <v>243.0</v>
      </c>
      <c r="E6" s="38">
        <v>0.4959</v>
      </c>
      <c r="F6" s="10">
        <v>47.0</v>
      </c>
      <c r="G6" s="38">
        <v>0.4747</v>
      </c>
      <c r="H6" s="10">
        <v>14.0</v>
      </c>
      <c r="I6" s="38">
        <v>0.35</v>
      </c>
      <c r="J6" s="10" t="s">
        <v>40</v>
      </c>
    </row>
    <row r="7">
      <c r="A7" s="10" t="s">
        <v>47</v>
      </c>
      <c r="D7" s="10">
        <v>201.0</v>
      </c>
      <c r="E7" s="38">
        <v>0.4102</v>
      </c>
      <c r="F7" s="10">
        <v>29.0</v>
      </c>
      <c r="G7" s="38">
        <v>0.2929</v>
      </c>
      <c r="H7" s="10">
        <v>7.0</v>
      </c>
      <c r="I7" s="38">
        <v>0.175</v>
      </c>
      <c r="J7" s="10" t="s">
        <v>40</v>
      </c>
      <c r="L7" s="10">
        <v>0.0</v>
      </c>
    </row>
    <row r="8">
      <c r="A8" s="10" t="s">
        <v>48</v>
      </c>
      <c r="D8" s="10">
        <v>289.0</v>
      </c>
      <c r="E8" s="38">
        <v>0.5898</v>
      </c>
      <c r="F8" s="10">
        <v>72.0</v>
      </c>
      <c r="G8" s="38">
        <v>0.7273</v>
      </c>
      <c r="H8" s="10">
        <v>26.0</v>
      </c>
      <c r="I8" s="38">
        <v>0.65</v>
      </c>
      <c r="J8" s="10" t="s">
        <v>40</v>
      </c>
    </row>
    <row r="9">
      <c r="A9" s="10" t="s">
        <v>49</v>
      </c>
      <c r="B9" s="10">
        <v>0.0</v>
      </c>
      <c r="C9" s="38">
        <v>0.0</v>
      </c>
      <c r="D9" s="10">
        <v>201.0</v>
      </c>
      <c r="E9" s="38">
        <v>0.4102</v>
      </c>
      <c r="F9" s="10">
        <v>42.0</v>
      </c>
      <c r="G9" s="38">
        <v>0.4242</v>
      </c>
      <c r="H9" s="10">
        <v>17.0</v>
      </c>
      <c r="I9" s="38">
        <v>0.425</v>
      </c>
      <c r="J9" s="10" t="s">
        <v>26</v>
      </c>
    </row>
    <row r="10">
      <c r="A10" s="10" t="s">
        <v>50</v>
      </c>
      <c r="B10" s="10">
        <v>0.0</v>
      </c>
      <c r="C10" s="38">
        <v>0.0</v>
      </c>
      <c r="D10" s="10">
        <v>0.0</v>
      </c>
      <c r="E10" s="38">
        <v>0.0</v>
      </c>
      <c r="F10" s="10">
        <v>0.0</v>
      </c>
      <c r="G10" s="38">
        <v>0.0</v>
      </c>
      <c r="H10" s="10">
        <v>1.0</v>
      </c>
      <c r="I10" s="38">
        <v>0.025</v>
      </c>
      <c r="J10" s="10" t="s">
        <v>26</v>
      </c>
    </row>
    <row r="11">
      <c r="A11" s="10" t="s">
        <v>51</v>
      </c>
      <c r="B11" s="10">
        <v>0.0</v>
      </c>
      <c r="C11" s="38">
        <v>0.0</v>
      </c>
      <c r="D11" s="10">
        <v>40.0</v>
      </c>
      <c r="E11" s="38">
        <v>0.0816</v>
      </c>
      <c r="F11" s="10">
        <v>7.0</v>
      </c>
      <c r="G11" s="38">
        <v>0.0707</v>
      </c>
      <c r="H11" s="10">
        <v>3.0</v>
      </c>
      <c r="I11" s="38">
        <v>0.075</v>
      </c>
      <c r="J11" s="10" t="s">
        <v>26</v>
      </c>
    </row>
    <row r="12">
      <c r="A12" s="10" t="s">
        <v>52</v>
      </c>
      <c r="B12" s="10">
        <v>0.0</v>
      </c>
      <c r="C12" s="38">
        <v>0.0</v>
      </c>
      <c r="D12" s="10">
        <v>300.0</v>
      </c>
      <c r="E12" s="38">
        <v>0.6122</v>
      </c>
      <c r="F12" s="10">
        <v>72.0</v>
      </c>
      <c r="G12" s="38">
        <v>0.7273</v>
      </c>
      <c r="H12" s="10">
        <v>30.0</v>
      </c>
      <c r="I12" s="38">
        <v>0.75</v>
      </c>
      <c r="J12" s="10" t="s">
        <v>40</v>
      </c>
      <c r="K12" s="10" t="s">
        <v>66</v>
      </c>
      <c r="L12" s="10">
        <v>0.0</v>
      </c>
    </row>
    <row r="13">
      <c r="A13" s="10" t="s">
        <v>54</v>
      </c>
      <c r="B13" s="10">
        <v>0.0</v>
      </c>
      <c r="C13" s="38">
        <v>0.0</v>
      </c>
      <c r="D13" s="10">
        <v>61.0</v>
      </c>
      <c r="E13" s="38">
        <v>0.1245</v>
      </c>
      <c r="F13" s="10">
        <v>21.0</v>
      </c>
      <c r="G13" s="38">
        <v>0.2121</v>
      </c>
      <c r="H13" s="10">
        <v>12.0</v>
      </c>
      <c r="I13" s="38">
        <v>0.3</v>
      </c>
      <c r="J13" s="10" t="s">
        <v>40</v>
      </c>
      <c r="L13" s="10">
        <v>0.0</v>
      </c>
    </row>
    <row r="14">
      <c r="A14" s="10" t="s">
        <v>55</v>
      </c>
      <c r="B14" s="10">
        <v>0.0</v>
      </c>
      <c r="C14" s="38">
        <v>0.0</v>
      </c>
      <c r="D14" s="10">
        <v>69.0</v>
      </c>
      <c r="E14" s="38">
        <v>0.1408</v>
      </c>
      <c r="F14" s="10">
        <v>9.0</v>
      </c>
      <c r="G14" s="38">
        <v>0.0909</v>
      </c>
      <c r="H14" s="10">
        <v>6.0</v>
      </c>
      <c r="I14" s="38">
        <v>0.15</v>
      </c>
      <c r="J14" s="10" t="s">
        <v>40</v>
      </c>
    </row>
    <row r="15">
      <c r="A15" s="10" t="s">
        <v>56</v>
      </c>
      <c r="B15" s="10">
        <v>0.0</v>
      </c>
      <c r="C15" s="38">
        <v>0.0</v>
      </c>
      <c r="D15" s="10">
        <v>253.0</v>
      </c>
      <c r="E15" s="38">
        <v>0.5163</v>
      </c>
      <c r="F15" s="10">
        <v>61.0</v>
      </c>
      <c r="G15" s="38">
        <v>0.6162</v>
      </c>
      <c r="H15" s="10">
        <v>25.0</v>
      </c>
      <c r="I15" s="38">
        <v>0.625</v>
      </c>
      <c r="J15" s="10" t="s">
        <v>40</v>
      </c>
    </row>
    <row r="16">
      <c r="A16" s="10" t="s">
        <v>57</v>
      </c>
      <c r="B16" s="10">
        <v>0.0</v>
      </c>
      <c r="C16" s="38">
        <v>0.0</v>
      </c>
      <c r="D16" s="10">
        <v>35.0</v>
      </c>
      <c r="E16" s="38">
        <v>0.0714</v>
      </c>
      <c r="F16" s="10">
        <v>4.0</v>
      </c>
      <c r="G16" s="38">
        <v>0.0404</v>
      </c>
      <c r="H16" s="10">
        <v>0.0</v>
      </c>
      <c r="I16" s="38">
        <v>0.0</v>
      </c>
      <c r="J16" s="10" t="s">
        <v>40</v>
      </c>
    </row>
    <row r="17">
      <c r="A17" s="10" t="s">
        <v>58</v>
      </c>
      <c r="B17" s="10">
        <v>0.0</v>
      </c>
      <c r="C17" s="38">
        <v>0.0</v>
      </c>
      <c r="D17" s="10">
        <v>18.0</v>
      </c>
      <c r="E17" s="38">
        <v>0.0367</v>
      </c>
      <c r="F17" s="10">
        <v>3.0</v>
      </c>
      <c r="G17" s="38">
        <v>0.0303</v>
      </c>
      <c r="H17" s="10">
        <v>0.0</v>
      </c>
      <c r="I17" s="38">
        <v>0.0</v>
      </c>
      <c r="J17" s="10" t="s">
        <v>40</v>
      </c>
    </row>
    <row r="18">
      <c r="A18" s="10" t="s">
        <v>59</v>
      </c>
      <c r="B18" s="10">
        <v>0.0</v>
      </c>
      <c r="C18" s="38">
        <v>0.0</v>
      </c>
      <c r="D18" s="10">
        <v>53.0</v>
      </c>
      <c r="E18" s="38">
        <v>0.1082</v>
      </c>
      <c r="F18" s="10">
        <v>3.0</v>
      </c>
      <c r="G18" s="38">
        <v>0.0303</v>
      </c>
      <c r="H18" s="10">
        <v>1.0</v>
      </c>
      <c r="I18" s="38">
        <v>0.025</v>
      </c>
      <c r="J18" s="10" t="s">
        <v>40</v>
      </c>
    </row>
    <row r="19">
      <c r="A19" s="10" t="s">
        <v>60</v>
      </c>
      <c r="B19" s="10">
        <v>0.0</v>
      </c>
      <c r="C19" s="38">
        <v>0.0</v>
      </c>
      <c r="D19" s="10">
        <v>8.0</v>
      </c>
      <c r="E19" s="38">
        <v>0.0163</v>
      </c>
      <c r="F19" s="10">
        <v>0.0</v>
      </c>
      <c r="G19" s="38">
        <v>0.0</v>
      </c>
      <c r="H19" s="10">
        <v>0.0</v>
      </c>
      <c r="I19" s="38">
        <v>0.0</v>
      </c>
      <c r="J19" s="10" t="s">
        <v>40</v>
      </c>
    </row>
    <row r="20">
      <c r="A20" s="10" t="s">
        <v>61</v>
      </c>
      <c r="B20" s="10">
        <v>0.0</v>
      </c>
      <c r="C20" s="38">
        <v>0.0</v>
      </c>
      <c r="D20" s="10">
        <v>16.0</v>
      </c>
      <c r="E20" s="38">
        <v>0.0327</v>
      </c>
      <c r="F20" s="10">
        <v>0.0</v>
      </c>
      <c r="G20" s="38">
        <v>0.0</v>
      </c>
      <c r="H20" s="10">
        <v>0.0</v>
      </c>
      <c r="I20" s="38">
        <v>0.0</v>
      </c>
      <c r="J20" s="10" t="s">
        <v>40</v>
      </c>
    </row>
    <row r="21">
      <c r="A21" s="10" t="s">
        <v>62</v>
      </c>
      <c r="B21" s="10">
        <v>0.0</v>
      </c>
      <c r="C21" s="38">
        <v>0.0</v>
      </c>
      <c r="D21" s="10">
        <v>0.0</v>
      </c>
      <c r="E21" s="38">
        <v>0.0</v>
      </c>
      <c r="F21" s="10">
        <v>3.0</v>
      </c>
      <c r="G21" s="38">
        <v>0.0303</v>
      </c>
      <c r="H21" s="10">
        <v>0.0</v>
      </c>
      <c r="I21" s="38">
        <v>0.0</v>
      </c>
      <c r="J21" s="10" t="s">
        <v>40</v>
      </c>
    </row>
    <row r="22">
      <c r="A22" s="10" t="s">
        <v>63</v>
      </c>
      <c r="D22" s="10">
        <v>239.0</v>
      </c>
      <c r="E22" s="38">
        <v>0.4878</v>
      </c>
      <c r="F22" s="10">
        <v>50.0</v>
      </c>
      <c r="G22" s="38">
        <v>0.5051</v>
      </c>
      <c r="H22" s="10">
        <v>27.0</v>
      </c>
      <c r="I22" s="38">
        <v>0.675</v>
      </c>
      <c r="J22" s="10" t="s">
        <v>40</v>
      </c>
    </row>
    <row r="23">
      <c r="A23" s="10" t="s">
        <v>64</v>
      </c>
      <c r="D23" s="10">
        <v>224.0</v>
      </c>
      <c r="E23" s="38">
        <v>0.4571</v>
      </c>
      <c r="F23" s="10">
        <v>43.0</v>
      </c>
      <c r="G23" s="38">
        <v>0.4343</v>
      </c>
      <c r="H23" s="10">
        <v>7.0</v>
      </c>
      <c r="I23" s="38">
        <v>0.175</v>
      </c>
      <c r="J23" s="10" t="s">
        <v>40</v>
      </c>
    </row>
    <row r="24">
      <c r="A24" s="10" t="s">
        <v>65</v>
      </c>
      <c r="B24" s="10">
        <v>0.0</v>
      </c>
      <c r="C24" s="38">
        <v>0.0</v>
      </c>
      <c r="D24" s="10">
        <v>76.0</v>
      </c>
      <c r="E24" s="38">
        <v>0.1551</v>
      </c>
      <c r="F24" s="10">
        <v>7.0</v>
      </c>
      <c r="G24" s="38">
        <v>0.0707</v>
      </c>
      <c r="H24" s="10">
        <v>3.0</v>
      </c>
      <c r="I24" s="38">
        <v>0.075</v>
      </c>
      <c r="J24" s="10" t="s">
        <v>40</v>
      </c>
      <c r="K24" s="10" t="s">
        <v>66</v>
      </c>
      <c r="L24" s="10">
        <v>0.0</v>
      </c>
    </row>
    <row r="25">
      <c r="A25" s="10" t="s">
        <v>67</v>
      </c>
      <c r="B25" s="10">
        <v>0.0</v>
      </c>
      <c r="C25" s="38">
        <v>0.0</v>
      </c>
      <c r="D25" s="10">
        <v>179.0</v>
      </c>
      <c r="E25" s="38">
        <v>0.3653</v>
      </c>
      <c r="F25" s="10">
        <v>55.0</v>
      </c>
      <c r="G25" s="38">
        <v>0.5556</v>
      </c>
      <c r="H25" s="10">
        <v>28.0</v>
      </c>
      <c r="I25" s="38">
        <v>0.7</v>
      </c>
      <c r="J25" s="10" t="s">
        <v>40</v>
      </c>
      <c r="K25" s="10" t="s">
        <v>90</v>
      </c>
    </row>
    <row r="26">
      <c r="A26" s="10" t="s">
        <v>68</v>
      </c>
      <c r="B26" s="10">
        <v>0.0</v>
      </c>
      <c r="C26" s="38">
        <v>0.0</v>
      </c>
      <c r="D26" s="10">
        <v>185.0</v>
      </c>
      <c r="E26" s="38">
        <v>0.3776</v>
      </c>
      <c r="F26" s="10">
        <v>37.0</v>
      </c>
      <c r="G26" s="38">
        <v>0.3737</v>
      </c>
      <c r="H26" s="10">
        <v>0.0</v>
      </c>
      <c r="I26" s="38">
        <v>0.0</v>
      </c>
      <c r="J26" s="10" t="s">
        <v>40</v>
      </c>
    </row>
    <row r="27">
      <c r="A27" s="10" t="s">
        <v>69</v>
      </c>
      <c r="B27" s="10">
        <v>0.0</v>
      </c>
      <c r="C27" s="38">
        <v>0.0</v>
      </c>
      <c r="D27" s="10">
        <v>54.0</v>
      </c>
      <c r="E27" s="38">
        <v>0.1102</v>
      </c>
      <c r="F27" s="10">
        <v>9.0</v>
      </c>
      <c r="G27" s="38">
        <v>0.0909</v>
      </c>
      <c r="H27" s="10">
        <v>0.0</v>
      </c>
      <c r="I27" s="38">
        <v>0.0</v>
      </c>
      <c r="J27" s="10" t="s">
        <v>40</v>
      </c>
    </row>
    <row r="28">
      <c r="A28" s="10" t="s">
        <v>70</v>
      </c>
      <c r="B28" s="10">
        <v>0.0</v>
      </c>
      <c r="C28" s="38">
        <v>0.0</v>
      </c>
      <c r="D28" s="10">
        <v>76.0</v>
      </c>
      <c r="E28" s="38">
        <v>0.1551</v>
      </c>
      <c r="F28" s="10">
        <v>16.0</v>
      </c>
      <c r="G28" s="38">
        <v>0.1616</v>
      </c>
      <c r="H28" s="10">
        <v>7.0</v>
      </c>
      <c r="I28" s="38">
        <v>0.175</v>
      </c>
      <c r="J28" s="10" t="s">
        <v>40</v>
      </c>
      <c r="L28" s="10">
        <v>0.0</v>
      </c>
    </row>
    <row r="29">
      <c r="A29" s="10" t="s">
        <v>71</v>
      </c>
      <c r="B29" s="10">
        <v>0.0</v>
      </c>
      <c r="C29" s="38">
        <v>0.0</v>
      </c>
      <c r="D29" s="10">
        <v>38.0</v>
      </c>
      <c r="E29" s="38">
        <v>0.0776</v>
      </c>
      <c r="F29" s="10">
        <v>10.0</v>
      </c>
      <c r="G29" s="38">
        <v>0.101</v>
      </c>
      <c r="H29" s="10">
        <v>0.0</v>
      </c>
      <c r="I29" s="38">
        <v>0.0</v>
      </c>
      <c r="J29" s="10" t="s">
        <v>40</v>
      </c>
    </row>
    <row r="30">
      <c r="A30" s="10" t="s">
        <v>72</v>
      </c>
      <c r="B30" s="10">
        <v>0.0</v>
      </c>
      <c r="C30" s="38">
        <v>0.0</v>
      </c>
      <c r="D30" s="10">
        <v>56.0</v>
      </c>
      <c r="E30" s="38">
        <v>0.1143</v>
      </c>
      <c r="F30" s="10">
        <v>11.0</v>
      </c>
      <c r="G30" s="38">
        <v>0.1111</v>
      </c>
      <c r="H30" s="10">
        <v>8.0</v>
      </c>
      <c r="I30" s="38">
        <v>0.2</v>
      </c>
      <c r="J30" s="10" t="s">
        <v>40</v>
      </c>
    </row>
    <row r="31">
      <c r="A31" s="10" t="s">
        <v>73</v>
      </c>
      <c r="B31" s="10">
        <v>0.0</v>
      </c>
      <c r="C31" s="38">
        <v>0.0</v>
      </c>
      <c r="D31" s="10">
        <v>17.0</v>
      </c>
      <c r="E31" s="38">
        <v>0.0347</v>
      </c>
      <c r="F31" s="10">
        <v>1.0</v>
      </c>
      <c r="G31" s="38">
        <v>0.0101</v>
      </c>
      <c r="H31" s="10">
        <v>0.0</v>
      </c>
      <c r="I31" s="38">
        <v>0.0</v>
      </c>
      <c r="J31" s="10" t="s">
        <v>40</v>
      </c>
    </row>
    <row r="32">
      <c r="A32" s="10" t="s">
        <v>74</v>
      </c>
      <c r="B32" s="10">
        <v>0.0</v>
      </c>
      <c r="C32" s="38">
        <v>0.0</v>
      </c>
      <c r="D32" s="10">
        <v>103.0</v>
      </c>
      <c r="E32" s="38">
        <v>0.2102</v>
      </c>
      <c r="F32" s="10">
        <v>20.0</v>
      </c>
      <c r="G32" s="38">
        <v>0.202</v>
      </c>
      <c r="H32" s="10">
        <v>10.0</v>
      </c>
      <c r="I32" s="38">
        <v>0.25</v>
      </c>
      <c r="J32" s="10" t="s">
        <v>40</v>
      </c>
      <c r="L32" s="10">
        <v>0.0</v>
      </c>
    </row>
    <row r="33">
      <c r="A33" s="10" t="s">
        <v>75</v>
      </c>
      <c r="B33" s="10">
        <v>0.0</v>
      </c>
      <c r="C33" s="38">
        <v>0.0</v>
      </c>
      <c r="D33" s="10">
        <v>38.0</v>
      </c>
      <c r="E33" s="38">
        <v>0.0776</v>
      </c>
      <c r="F33" s="10">
        <v>11.0</v>
      </c>
      <c r="G33" s="38">
        <v>0.1111</v>
      </c>
      <c r="H33" s="10">
        <v>0.0</v>
      </c>
      <c r="I33" s="38">
        <v>0.0</v>
      </c>
      <c r="J33" s="10" t="s">
        <v>40</v>
      </c>
    </row>
    <row r="34">
      <c r="A34" s="10" t="s">
        <v>76</v>
      </c>
      <c r="B34" s="10">
        <v>0.0</v>
      </c>
      <c r="C34" s="38">
        <v>0.0</v>
      </c>
      <c r="D34" s="10">
        <v>105.0</v>
      </c>
      <c r="E34" s="38">
        <v>0.2143</v>
      </c>
      <c r="F34" s="10">
        <v>14.0</v>
      </c>
      <c r="G34" s="38">
        <v>0.1414</v>
      </c>
      <c r="H34" s="10">
        <v>16.0</v>
      </c>
      <c r="I34" s="38">
        <v>0.4</v>
      </c>
      <c r="J34" s="10" t="s">
        <v>40</v>
      </c>
    </row>
    <row r="35">
      <c r="A35" s="10" t="s">
        <v>77</v>
      </c>
      <c r="B35" s="10">
        <v>0.0</v>
      </c>
      <c r="C35" s="38">
        <v>0.0</v>
      </c>
      <c r="D35" s="10">
        <v>17.0</v>
      </c>
      <c r="E35" s="38">
        <v>0.0347</v>
      </c>
      <c r="F35" s="10">
        <v>0.0</v>
      </c>
      <c r="G35" s="38">
        <v>0.0</v>
      </c>
      <c r="H35" s="10">
        <v>0.0</v>
      </c>
      <c r="I35" s="38">
        <v>0.0</v>
      </c>
      <c r="J35" s="10" t="s">
        <v>40</v>
      </c>
    </row>
    <row r="36">
      <c r="A36" s="10" t="s">
        <v>5</v>
      </c>
      <c r="D36" s="10">
        <v>15.0</v>
      </c>
      <c r="E36" s="38">
        <v>0.0306</v>
      </c>
      <c r="F36" s="10">
        <v>2.0</v>
      </c>
      <c r="G36" s="38">
        <v>0.0202</v>
      </c>
      <c r="H36" s="10">
        <v>1.0</v>
      </c>
      <c r="I36" s="38">
        <v>0.025</v>
      </c>
      <c r="J36" s="10" t="s">
        <v>40</v>
      </c>
      <c r="K36" s="10" t="s">
        <v>43</v>
      </c>
      <c r="L36" s="10">
        <v>0.0</v>
      </c>
    </row>
    <row r="37">
      <c r="A37" s="10" t="s">
        <v>8</v>
      </c>
      <c r="D37" s="10">
        <v>263.0</v>
      </c>
      <c r="E37" s="38">
        <v>0.5367</v>
      </c>
      <c r="F37" s="10">
        <v>53.0</v>
      </c>
      <c r="G37" s="38">
        <v>0.5354</v>
      </c>
      <c r="H37" s="10">
        <v>32.0</v>
      </c>
      <c r="I37" s="38">
        <v>0.8</v>
      </c>
      <c r="J37" s="10" t="s">
        <v>40</v>
      </c>
      <c r="K37" s="10" t="s">
        <v>43</v>
      </c>
      <c r="L37" s="10">
        <v>0.0</v>
      </c>
    </row>
    <row r="38">
      <c r="A38" s="10" t="s">
        <v>12</v>
      </c>
      <c r="D38" s="10">
        <v>114.0</v>
      </c>
      <c r="E38" s="38">
        <v>0.2327</v>
      </c>
      <c r="F38" s="10">
        <v>24.0</v>
      </c>
      <c r="G38" s="38">
        <v>0.2424</v>
      </c>
      <c r="H38" s="10">
        <v>17.0</v>
      </c>
      <c r="I38" s="38">
        <v>0.425</v>
      </c>
      <c r="J38" s="10" t="s">
        <v>40</v>
      </c>
      <c r="K38" s="10" t="s">
        <v>43</v>
      </c>
    </row>
    <row r="39">
      <c r="A39" s="10" t="s">
        <v>78</v>
      </c>
      <c r="D39" s="10">
        <v>5.0</v>
      </c>
      <c r="E39" s="38">
        <v>0.0102</v>
      </c>
      <c r="F39" s="10">
        <v>1.0</v>
      </c>
      <c r="G39" s="38">
        <v>0.0101</v>
      </c>
      <c r="H39" s="10">
        <v>0.0</v>
      </c>
      <c r="I39" s="38">
        <v>0.0</v>
      </c>
      <c r="J39" s="10" t="s">
        <v>40</v>
      </c>
      <c r="K39" s="10" t="s">
        <v>43</v>
      </c>
    </row>
    <row r="40">
      <c r="A40" s="10" t="s">
        <v>9</v>
      </c>
      <c r="D40" s="10">
        <v>223.0</v>
      </c>
      <c r="E40" s="38">
        <v>0.4551</v>
      </c>
      <c r="F40" s="10">
        <v>48.0</v>
      </c>
      <c r="G40" s="38">
        <v>0.4848</v>
      </c>
      <c r="H40" s="10">
        <v>9.0</v>
      </c>
      <c r="I40" s="38">
        <v>0.225</v>
      </c>
      <c r="J40" s="10" t="s">
        <v>40</v>
      </c>
    </row>
    <row r="41">
      <c r="A41" s="10" t="s">
        <v>6</v>
      </c>
      <c r="D41" s="10">
        <v>86.0</v>
      </c>
      <c r="E41" s="38">
        <v>0.1755</v>
      </c>
      <c r="F41" s="10">
        <v>19.0</v>
      </c>
      <c r="G41" s="38">
        <v>0.1919</v>
      </c>
      <c r="H41" s="10">
        <v>1.0</v>
      </c>
      <c r="I41" s="38">
        <v>0.025</v>
      </c>
      <c r="J41" s="10" t="s">
        <v>40</v>
      </c>
      <c r="K41" s="10" t="s">
        <v>43</v>
      </c>
      <c r="L41" s="10">
        <v>0.0</v>
      </c>
    </row>
    <row r="42">
      <c r="A42" s="10" t="s">
        <v>13</v>
      </c>
      <c r="D42" s="10">
        <v>50.0</v>
      </c>
      <c r="E42" s="38">
        <v>0.102</v>
      </c>
      <c r="F42" s="10">
        <v>13.0</v>
      </c>
      <c r="G42" s="38">
        <v>0.1313</v>
      </c>
      <c r="H42" s="10">
        <v>0.0</v>
      </c>
      <c r="I42" s="38">
        <v>0.0</v>
      </c>
      <c r="J42" s="10" t="s">
        <v>40</v>
      </c>
    </row>
    <row r="43">
      <c r="A43" s="10" t="s">
        <v>80</v>
      </c>
      <c r="D43" s="10">
        <v>65.0</v>
      </c>
      <c r="E43" s="38">
        <v>0.1327</v>
      </c>
      <c r="F43" s="10">
        <v>16.0</v>
      </c>
      <c r="G43" s="38">
        <v>0.1616</v>
      </c>
      <c r="H43" s="10">
        <v>2.0</v>
      </c>
      <c r="I43" s="38">
        <v>0.05</v>
      </c>
      <c r="J43" s="10" t="s">
        <v>40</v>
      </c>
    </row>
    <row r="44">
      <c r="A44" s="10" t="s">
        <v>10</v>
      </c>
      <c r="D44" s="10">
        <v>4.0</v>
      </c>
      <c r="E44" s="38">
        <v>0.0082</v>
      </c>
      <c r="F44" s="10">
        <v>1.0</v>
      </c>
      <c r="G44" s="38">
        <v>0.0101</v>
      </c>
      <c r="H44" s="10">
        <v>1.0</v>
      </c>
      <c r="I44" s="38">
        <v>0.025</v>
      </c>
      <c r="J44" s="10" t="s">
        <v>40</v>
      </c>
      <c r="K44" s="10" t="s">
        <v>81</v>
      </c>
      <c r="L44" s="10">
        <v>0.0</v>
      </c>
    </row>
    <row r="45">
      <c r="A45" s="10" t="s">
        <v>11</v>
      </c>
      <c r="D45" s="10">
        <v>15.0</v>
      </c>
      <c r="E45" s="38">
        <v>0.0306</v>
      </c>
      <c r="F45" s="10">
        <v>5.0</v>
      </c>
      <c r="G45" s="38">
        <v>0.0505</v>
      </c>
      <c r="H45" s="10">
        <v>0.0</v>
      </c>
      <c r="I45" s="38">
        <v>0.0</v>
      </c>
      <c r="J45" s="10" t="s">
        <v>40</v>
      </c>
      <c r="K45" s="10" t="s">
        <v>66</v>
      </c>
    </row>
    <row r="46">
      <c r="A46" s="10" t="s">
        <v>83</v>
      </c>
      <c r="D46" s="10">
        <v>0.01318685704</v>
      </c>
      <c r="E46" s="38">
        <v>0.0132</v>
      </c>
      <c r="F46" s="10">
        <v>0.001369551235</v>
      </c>
      <c r="G46" s="38">
        <v>0.0014</v>
      </c>
      <c r="H46" s="10">
        <v>0.02744896348</v>
      </c>
      <c r="I46" s="38">
        <v>0.0274</v>
      </c>
      <c r="J46" s="10" t="s">
        <v>40</v>
      </c>
    </row>
    <row r="47">
      <c r="A47" s="10" t="s">
        <v>84</v>
      </c>
      <c r="D47" s="10">
        <v>0.0</v>
      </c>
    </row>
    <row r="48">
      <c r="A48" s="10" t="s">
        <v>85</v>
      </c>
    </row>
  </sheetData>
  <drawing r:id="rId1"/>
</worksheet>
</file>